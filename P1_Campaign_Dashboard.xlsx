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OFFFF\consult project\"/>
    </mc:Choice>
  </mc:AlternateContent>
  <bookViews>
    <workbookView xWindow="0" yWindow="0" windowWidth="23040" windowHeight="9072" tabRatio="500" firstSheet="2" activeTab="3"/>
  </bookViews>
  <sheets>
    <sheet name="📋 Data Quality Report" sheetId="1" r:id="rId1"/>
    <sheet name="🗃 Clean Master Data" sheetId="2" r:id="rId2"/>
    <sheet name="📊 KPI Dashboard" sheetId="3" r:id="rId3"/>
    <sheet name="📈 Monthly Trends" sheetId="4" r:id="rId4"/>
    <sheet name="🔀 Channel × Month" sheetId="5" r:id="rId5"/>
    <sheet name="💡 Insights &amp; Rec." sheetId="6" r:id="rId6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1" l="1"/>
  <c r="E11" i="1"/>
  <c r="D11" i="1"/>
  <c r="C11" i="1"/>
  <c r="B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<sst xmlns="http://schemas.openxmlformats.org/spreadsheetml/2006/main" count="1667" uniqueCount="460">
  <si>
    <t>FY 2024 MULTI-CHANNEL CAMPAIGN ANALYTICS  |  Data Quality &amp; ETL Report</t>
  </si>
  <si>
    <t>Source: Google Ads Export | Meta Ads Export | Email CRM | Display Network | Budget Allocation</t>
  </si>
  <si>
    <t>DATA QUALITY SUMMARY — BEFORE vs AFTER CLEANING</t>
  </si>
  <si>
    <t>Source File</t>
  </si>
  <si>
    <t>Raw Rows</t>
  </si>
  <si>
    <t>After Dedup</t>
  </si>
  <si>
    <t>Anomalies Flagged</t>
  </si>
  <si>
    <t>Clean Rows</t>
  </si>
  <si>
    <t>Retention %</t>
  </si>
  <si>
    <t>Key Issues Found</t>
  </si>
  <si>
    <t>google_ads_export_FY2024.csv</t>
  </si>
  <si>
    <t>Mixed date formats (6 types), channel name variants, currency string values in cost col</t>
  </si>
  <si>
    <t>meta_ads_export_FY2024.csv</t>
  </si>
  <si>
    <t>USD→GBP conversion required, CTR outliers &gt;50%, spend_USD with '$' prefix, 8 null cols</t>
  </si>
  <si>
    <t>email_crm_export_FY2024.csv</t>
  </si>
  <si>
    <t>6 channel name variants ('EMAIL','e-mail' etc.), duplicate sends, partial nulls in segment</t>
  </si>
  <si>
    <t>display_network_export_FY2024.csv</t>
  </si>
  <si>
    <t>Viewability% as string, 9% null rate, negative Spend_£ values, Column 'Clks' vs 'Clicks'</t>
  </si>
  <si>
    <t>budget_allocation_FY2024.csv</t>
  </si>
  <si>
    <t>Currency symbols in budget cells (£12,500), blank row, free-text note in last row</t>
  </si>
  <si>
    <t>TOTAL / AGGREGATE</t>
  </si>
  <si>
    <t>ANOMALY TYPES IDENTIFIED &amp; RESOLUTION</t>
  </si>
  <si>
    <t>Issue Type</t>
  </si>
  <si>
    <t>Rows Affected</t>
  </si>
  <si>
    <t>Resolution Applied</t>
  </si>
  <si>
    <t>Negative Cost/Revenue</t>
  </si>
  <si>
    <t>31 rows</t>
  </si>
  <si>
    <t>Set cost=0 or revenue=0 for email; others quarantined</t>
  </si>
  <si>
    <t>CTR &gt; 50% (impossible)</t>
  </si>
  <si>
    <t>18 rows</t>
  </si>
  <si>
    <t>Quarantined — likely double-counting from platform API</t>
  </si>
  <si>
    <t>Conversions &gt; Clicks</t>
  </si>
  <si>
    <t>12 rows</t>
  </si>
  <si>
    <t>Quarantined — view-through and click-through counted twice</t>
  </si>
  <si>
    <t>Revenue Outlier &gt; £500k</t>
  </si>
  <si>
    <t>19 rows</t>
  </si>
  <si>
    <t>Quarantined — likely test/staging data from Display Network</t>
  </si>
  <si>
    <t>Unresolvable Channel Names</t>
  </si>
  <si>
    <t>0 rows</t>
  </si>
  <si>
    <t>All 7 variants per channel mapped via regex normalisation</t>
  </si>
  <si>
    <t>Currency Strings in Numeric</t>
  </si>
  <si>
    <t>143 cells</t>
  </si>
  <si>
    <t>Stripped £/$ symbols + commas, cast to float</t>
  </si>
  <si>
    <t>Mixed Date Formats</t>
  </si>
  <si>
    <t>All rows</t>
  </si>
  <si>
    <t>6 strptime patterns tried in order → unified YYYY-MM-DD</t>
  </si>
  <si>
    <t>USD→GBP Conversion</t>
  </si>
  <si>
    <t>Meta rows</t>
  </si>
  <si>
    <t>Applied 0.79 spot rate (valid for FY2024 average)</t>
  </si>
  <si>
    <t>CLEAN MASTER DATASET  |  6,363 rows total  |  Showing first 500  |  Source: 4 platforms merged &amp; cleaned</t>
  </si>
  <si>
    <t>date</t>
  </si>
  <si>
    <t>channel</t>
  </si>
  <si>
    <t>campaign</t>
  </si>
  <si>
    <t>impressions</t>
  </si>
  <si>
    <t>clicks</t>
  </si>
  <si>
    <t>cost_gbp</t>
  </si>
  <si>
    <t>conversions</t>
  </si>
  <si>
    <t>revenue_gbp</t>
  </si>
  <si>
    <t>ctr_pct</t>
  </si>
  <si>
    <t>cvr_pct</t>
  </si>
  <si>
    <t>roi_pct</t>
  </si>
  <si>
    <t>cpa_gbp</t>
  </si>
  <si>
    <t>2024-07-19</t>
  </si>
  <si>
    <t>Paid Search</t>
  </si>
  <si>
    <t>Brand_Search_APAC</t>
  </si>
  <si>
    <t>2024-12-16</t>
  </si>
  <si>
    <t>2024-03-09</t>
  </si>
  <si>
    <t>Retargeting_Generic</t>
  </si>
  <si>
    <t>2024-02-11</t>
  </si>
  <si>
    <t>Generic_Investments</t>
  </si>
  <si>
    <t>2024-07-08</t>
  </si>
  <si>
    <t>Competitor_Conquest</t>
  </si>
  <si>
    <t>2024-05-24</t>
  </si>
  <si>
    <t>Retargeting_HNW</t>
  </si>
  <si>
    <t>2024-10-02</t>
  </si>
  <si>
    <t>2024-08-04</t>
  </si>
  <si>
    <t>2024-02-15</t>
  </si>
  <si>
    <t>2024-01-12</t>
  </si>
  <si>
    <t>2024-06-13</t>
  </si>
  <si>
    <t>2024-11-18</t>
  </si>
  <si>
    <t>2024-02-22</t>
  </si>
  <si>
    <t>2024-07-25</t>
  </si>
  <si>
    <t>2024-03-31</t>
  </si>
  <si>
    <t>Generic_Savings</t>
  </si>
  <si>
    <t>2024-03-04</t>
  </si>
  <si>
    <t>2024-04-23</t>
  </si>
  <si>
    <t>Dynamic_Search_Ads</t>
  </si>
  <si>
    <t>2024-08-21</t>
  </si>
  <si>
    <t>Brand_Search_UK</t>
  </si>
  <si>
    <t>2024-09-24</t>
  </si>
  <si>
    <t>2024-11-17</t>
  </si>
  <si>
    <t>Performance_Max_Q4</t>
  </si>
  <si>
    <t>2024-05-04</t>
  </si>
  <si>
    <t>2024-11-13</t>
  </si>
  <si>
    <t>2024-10-09</t>
  </si>
  <si>
    <t>2024-04-19</t>
  </si>
  <si>
    <t>2024-04-25</t>
  </si>
  <si>
    <t>2024-04-15</t>
  </si>
  <si>
    <t>2024-05-18</t>
  </si>
  <si>
    <t>2024-05-09</t>
  </si>
  <si>
    <t>2024-09-14</t>
  </si>
  <si>
    <t>2024-10-06</t>
  </si>
  <si>
    <t>2024-03-12</t>
  </si>
  <si>
    <t>2024-03-07</t>
  </si>
  <si>
    <t>2024-03-05</t>
  </si>
  <si>
    <t>2024-12-13</t>
  </si>
  <si>
    <t>2024-06-23</t>
  </si>
  <si>
    <t>2024-08-07</t>
  </si>
  <si>
    <t>2024-06-26</t>
  </si>
  <si>
    <t>2024-07-22</t>
  </si>
  <si>
    <t>2024-04-13</t>
  </si>
  <si>
    <t>2024-04-14</t>
  </si>
  <si>
    <t>2024-04-24</t>
  </si>
  <si>
    <t>2024-11-11</t>
  </si>
  <si>
    <t>2024-12-26</t>
  </si>
  <si>
    <t>Generic_Mortgages</t>
  </si>
  <si>
    <t>2024-03-15</t>
  </si>
  <si>
    <t>2024-05-13</t>
  </si>
  <si>
    <t>2024-09-18</t>
  </si>
  <si>
    <t>2024-06-25</t>
  </si>
  <si>
    <t>2024-05-17</t>
  </si>
  <si>
    <t>2024-03-02</t>
  </si>
  <si>
    <t>2024-10-05</t>
  </si>
  <si>
    <t>2024-10-03</t>
  </si>
  <si>
    <t>2024-01-10</t>
  </si>
  <si>
    <t>2024-06-18</t>
  </si>
  <si>
    <t>2024-08-19</t>
  </si>
  <si>
    <t>2024-03-27</t>
  </si>
  <si>
    <t>2024-10-30</t>
  </si>
  <si>
    <t>2024-06-21</t>
  </si>
  <si>
    <t>2024-03-26</t>
  </si>
  <si>
    <t>2024-12-19</t>
  </si>
  <si>
    <t>2024-11-08</t>
  </si>
  <si>
    <t>2024-06-29</t>
  </si>
  <si>
    <t>2024-07-26</t>
  </si>
  <si>
    <t>2024-12-02</t>
  </si>
  <si>
    <t>2024-10-12</t>
  </si>
  <si>
    <t>2024-09-20</t>
  </si>
  <si>
    <t>2024-01-01</t>
  </si>
  <si>
    <t>2024-11-05</t>
  </si>
  <si>
    <t>2024-02-08</t>
  </si>
  <si>
    <t>2024-08-11</t>
  </si>
  <si>
    <t>2024-04-08</t>
  </si>
  <si>
    <t>2024-12-23</t>
  </si>
  <si>
    <t>2024-01-05</t>
  </si>
  <si>
    <t>2024-05-28</t>
  </si>
  <si>
    <t>2024-04-20</t>
  </si>
  <si>
    <t>2024-11-24</t>
  </si>
  <si>
    <t>2024-03-17</t>
  </si>
  <si>
    <t>2024-10-13</t>
  </si>
  <si>
    <t>2024-01-13</t>
  </si>
  <si>
    <t>2024-01-07</t>
  </si>
  <si>
    <t>2024-09-10</t>
  </si>
  <si>
    <t>2024-09-11</t>
  </si>
  <si>
    <t>2024-09-06</t>
  </si>
  <si>
    <t>2024-09-15</t>
  </si>
  <si>
    <t>2024-01-28</t>
  </si>
  <si>
    <t>2024-09-25</t>
  </si>
  <si>
    <t>2024-05-12</t>
  </si>
  <si>
    <t>2024-12-06</t>
  </si>
  <si>
    <t>2024-05-15</t>
  </si>
  <si>
    <t>2024-12-22</t>
  </si>
  <si>
    <t>2024-06-05</t>
  </si>
  <si>
    <t>2024-01-20</t>
  </si>
  <si>
    <t>2024-07-02</t>
  </si>
  <si>
    <t>2024-05-07</t>
  </si>
  <si>
    <t>2024-05-23</t>
  </si>
  <si>
    <t>2024-06-17</t>
  </si>
  <si>
    <t>2024-10-21</t>
  </si>
  <si>
    <t>2024-08-12</t>
  </si>
  <si>
    <t>2024-03-08</t>
  </si>
  <si>
    <t>2024-02-04</t>
  </si>
  <si>
    <t>2024-02-12</t>
  </si>
  <si>
    <t>2024-01-08</t>
  </si>
  <si>
    <t>2024-12-17</t>
  </si>
  <si>
    <t>2024-05-29</t>
  </si>
  <si>
    <t>2024-05-31</t>
  </si>
  <si>
    <t>2024-12-07</t>
  </si>
  <si>
    <t>2024-05-06</t>
  </si>
  <si>
    <t>2024-08-30</t>
  </si>
  <si>
    <t>2024-07-11</t>
  </si>
  <si>
    <t>2024-01-18</t>
  </si>
  <si>
    <t>2024-04-18</t>
  </si>
  <si>
    <t>2024-01-25</t>
  </si>
  <si>
    <t>2024-11-25</t>
  </si>
  <si>
    <t>2024-02-28</t>
  </si>
  <si>
    <t>2024-03-21</t>
  </si>
  <si>
    <t>2024-07-30</t>
  </si>
  <si>
    <t>2024-05-02</t>
  </si>
  <si>
    <t>2024-08-14</t>
  </si>
  <si>
    <t>2024-08-02</t>
  </si>
  <si>
    <t>2024-03-24</t>
  </si>
  <si>
    <t>2024-09-27</t>
  </si>
  <si>
    <t>2024-11-04</t>
  </si>
  <si>
    <t>2024-09-22</t>
  </si>
  <si>
    <t>2024-12-29</t>
  </si>
  <si>
    <t>2024-06-20</t>
  </si>
  <si>
    <t>2024-11-26</t>
  </si>
  <si>
    <t>2024-10-16</t>
  </si>
  <si>
    <t>2024-04-17</t>
  </si>
  <si>
    <t>2024-03-01</t>
  </si>
  <si>
    <t>2024-01-09</t>
  </si>
  <si>
    <t>2024-11-21</t>
  </si>
  <si>
    <t>2024-06-28</t>
  </si>
  <si>
    <t>2024-08-09</t>
  </si>
  <si>
    <t>2024-08-20</t>
  </si>
  <si>
    <t>2024-12-09</t>
  </si>
  <si>
    <t>2024-04-01</t>
  </si>
  <si>
    <t>2024-04-22</t>
  </si>
  <si>
    <t>2024-10-19</t>
  </si>
  <si>
    <t>2024-02-09</t>
  </si>
  <si>
    <t>2024-08-29</t>
  </si>
  <si>
    <t>2024-01-04</t>
  </si>
  <si>
    <t>2024-06-01</t>
  </si>
  <si>
    <t>2024-08-24</t>
  </si>
  <si>
    <t>2024-05-10</t>
  </si>
  <si>
    <t>2024-09-07</t>
  </si>
  <si>
    <t>2024-12-20</t>
  </si>
  <si>
    <t>2024-06-14</t>
  </si>
  <si>
    <t>2024-01-27</t>
  </si>
  <si>
    <t>2024-01-24</t>
  </si>
  <si>
    <t>2024-10-31</t>
  </si>
  <si>
    <t>2024-01-06</t>
  </si>
  <si>
    <t>2024-09-04</t>
  </si>
  <si>
    <t>2024-07-18</t>
  </si>
  <si>
    <t>2024-05-22</t>
  </si>
  <si>
    <t>2024-03-22</t>
  </si>
  <si>
    <t>2024-06-04</t>
  </si>
  <si>
    <t>2024-03-14</t>
  </si>
  <si>
    <t>2024-03-29</t>
  </si>
  <si>
    <t>2024-07-24</t>
  </si>
  <si>
    <t>2024-01-21</t>
  </si>
  <si>
    <t>2024-07-21</t>
  </si>
  <si>
    <t>2024-12-01</t>
  </si>
  <si>
    <t>2024-11-01</t>
  </si>
  <si>
    <t>2024-01-19</t>
  </si>
  <si>
    <t>2024-12-14</t>
  </si>
  <si>
    <t>2024-05-01</t>
  </si>
  <si>
    <t>2024-02-03</t>
  </si>
  <si>
    <t>2024-06-27</t>
  </si>
  <si>
    <t>2024-08-06</t>
  </si>
  <si>
    <t>2024-12-28</t>
  </si>
  <si>
    <t>2024-03-03</t>
  </si>
  <si>
    <t>2024-10-08</t>
  </si>
  <si>
    <t>2024-02-01</t>
  </si>
  <si>
    <t>2024-05-11</t>
  </si>
  <si>
    <t>2024-11-27</t>
  </si>
  <si>
    <t>2024-04-06</t>
  </si>
  <si>
    <t>2024-11-16</t>
  </si>
  <si>
    <t>2024-06-19</t>
  </si>
  <si>
    <t>2024-07-15</t>
  </si>
  <si>
    <t>2024-01-31</t>
  </si>
  <si>
    <t>2024-09-02</t>
  </si>
  <si>
    <t>2024-07-01</t>
  </si>
  <si>
    <t>2024-12-25</t>
  </si>
  <si>
    <t>2024-01-22</t>
  </si>
  <si>
    <t>2024-03-16</t>
  </si>
  <si>
    <t>2024-03-25</t>
  </si>
  <si>
    <t>2024-03-18</t>
  </si>
  <si>
    <t>2024-02-06</t>
  </si>
  <si>
    <t>2024-11-03</t>
  </si>
  <si>
    <t>2024-10-25</t>
  </si>
  <si>
    <t>2024-05-30</t>
  </si>
  <si>
    <t>2024-05-16</t>
  </si>
  <si>
    <t>2024-03-11</t>
  </si>
  <si>
    <t>2024-08-25</t>
  </si>
  <si>
    <t>2024-08-22</t>
  </si>
  <si>
    <t>2024-08-13</t>
  </si>
  <si>
    <t>2024-08-05</t>
  </si>
  <si>
    <t>2024-12-21</t>
  </si>
  <si>
    <t>2024-04-27</t>
  </si>
  <si>
    <t>2024-01-30</t>
  </si>
  <si>
    <t>2024-09-13</t>
  </si>
  <si>
    <t>2024-08-28</t>
  </si>
  <si>
    <t>2024-08-10</t>
  </si>
  <si>
    <t>2024-07-03</t>
  </si>
  <si>
    <t>2024-09-26</t>
  </si>
  <si>
    <t>2024-09-19</t>
  </si>
  <si>
    <t>2024-04-12</t>
  </si>
  <si>
    <t>2024-02-20</t>
  </si>
  <si>
    <t>2024-07-05</t>
  </si>
  <si>
    <t>2024-02-10</t>
  </si>
  <si>
    <t>2024-02-05</t>
  </si>
  <si>
    <t>2024-12-15</t>
  </si>
  <si>
    <t>2024-06-10</t>
  </si>
  <si>
    <t>2024-09-21</t>
  </si>
  <si>
    <t>2024-12-12</t>
  </si>
  <si>
    <t>2024-06-02</t>
  </si>
  <si>
    <t>2024-04-16</t>
  </si>
  <si>
    <t>2024-01-15</t>
  </si>
  <si>
    <t>2024-05-03</t>
  </si>
  <si>
    <t>2024-04-04</t>
  </si>
  <si>
    <t>2024-11-28</t>
  </si>
  <si>
    <t>2024-02-25</t>
  </si>
  <si>
    <t>2024-02-02</t>
  </si>
  <si>
    <t>2024-10-04</t>
  </si>
  <si>
    <t>2024-04-21</t>
  </si>
  <si>
    <t>2024-10-17</t>
  </si>
  <si>
    <t>2024-02-27</t>
  </si>
  <si>
    <t>2024-07-14</t>
  </si>
  <si>
    <t>2024-07-16</t>
  </si>
  <si>
    <t>2024-03-20</t>
  </si>
  <si>
    <t>2024-05-05</t>
  </si>
  <si>
    <t>2024-12-05</t>
  </si>
  <si>
    <t>2024-10-15</t>
  </si>
  <si>
    <t>2024-07-28</t>
  </si>
  <si>
    <t>2024-06-03</t>
  </si>
  <si>
    <t>2024-12-04</t>
  </si>
  <si>
    <t>2024-11-14</t>
  </si>
  <si>
    <t>2024-06-12</t>
  </si>
  <si>
    <t>2024-04-28</t>
  </si>
  <si>
    <t>2024-07-17</t>
  </si>
  <si>
    <t>2024-05-20</t>
  </si>
  <si>
    <t>2024-01-14</t>
  </si>
  <si>
    <t>2024-10-29</t>
  </si>
  <si>
    <t>2024-12-24</t>
  </si>
  <si>
    <t>2024-06-24</t>
  </si>
  <si>
    <t>2024-10-11</t>
  </si>
  <si>
    <t>2024-03-06</t>
  </si>
  <si>
    <t>2024-09-30</t>
  </si>
  <si>
    <t>2024-07-06</t>
  </si>
  <si>
    <t>2024-09-03</t>
  </si>
  <si>
    <t>2024-07-31</t>
  </si>
  <si>
    <t>2024-07-20</t>
  </si>
  <si>
    <t>2024-05-25</t>
  </si>
  <si>
    <t>2024-10-18</t>
  </si>
  <si>
    <t>2024-08-01</t>
  </si>
  <si>
    <t>2024-06-06</t>
  </si>
  <si>
    <t>2024-01-16</t>
  </si>
  <si>
    <t>2024-01-23</t>
  </si>
  <si>
    <t>2024-02-14</t>
  </si>
  <si>
    <t>2024-07-10</t>
  </si>
  <si>
    <t>2024-12-18</t>
  </si>
  <si>
    <t>2024-03-13</t>
  </si>
  <si>
    <t>2024-10-27</t>
  </si>
  <si>
    <t>2024-10-23</t>
  </si>
  <si>
    <t>2024-12-10</t>
  </si>
  <si>
    <t>2024-11-02</t>
  </si>
  <si>
    <t>2024-06-15</t>
  </si>
  <si>
    <t>2024-09-08</t>
  </si>
  <si>
    <t>2024-11-19</t>
  </si>
  <si>
    <t>2024-12-30</t>
  </si>
  <si>
    <t>2024-08-16</t>
  </si>
  <si>
    <t>2024-07-09</t>
  </si>
  <si>
    <t>2024-02-07</t>
  </si>
  <si>
    <t>2024-07-07</t>
  </si>
  <si>
    <t>2024-06-08</t>
  </si>
  <si>
    <t>2024-10-10</t>
  </si>
  <si>
    <t>2024-02-19</t>
  </si>
  <si>
    <t>2024-11-23</t>
  </si>
  <si>
    <t>2024-07-13</t>
  </si>
  <si>
    <t>2024-05-14</t>
  </si>
  <si>
    <t>2024-10-14</t>
  </si>
  <si>
    <t>2024-04-10</t>
  </si>
  <si>
    <t>2024-10-01</t>
  </si>
  <si>
    <t>2024-07-27</t>
  </si>
  <si>
    <t>2024-04-02</t>
  </si>
  <si>
    <t>2024-09-23</t>
  </si>
  <si>
    <t>KPI DASHBOARD  |  FY 2024  |  Multi-Channel Campaign Performance  |  Post-ETL Clean Data</t>
  </si>
  <si>
    <t>TOTAL IMPRESSIONS</t>
  </si>
  <si>
    <t>TOTAL CLICKS</t>
  </si>
  <si>
    <t>TOTAL CONVERSIONS</t>
  </si>
  <si>
    <t>TOTAL REVENUE (£)</t>
  </si>
  <si>
    <t>TOTAL SPEND (£)</t>
  </si>
  <si>
    <t>AVG ROI</t>
  </si>
  <si>
    <t>OVERALL CTR</t>
  </si>
  <si>
    <t>£19,897,181</t>
  </si>
  <si>
    <t>£18,099,721</t>
  </si>
  <si>
    <t>From 4 channels, 365 days</t>
  </si>
  <si>
    <t>Post-dedup, validated</t>
  </si>
  <si>
    <t>Click-through only</t>
  </si>
  <si>
    <t>GBP normalised</t>
  </si>
  <si>
    <t>Excl. email fixed cost</t>
  </si>
  <si>
    <t>Paid channels only</t>
  </si>
  <si>
    <t>Portfolio level</t>
  </si>
  <si>
    <t>CHANNEL PERFORMANCE BREAKDOWN  |  Full Year Aggregated</t>
  </si>
  <si>
    <t>Channel</t>
  </si>
  <si>
    <t>Impressions</t>
  </si>
  <si>
    <t>Clicks</t>
  </si>
  <si>
    <t>CTR %</t>
  </si>
  <si>
    <t>Conversions</t>
  </si>
  <si>
    <t>CVR %</t>
  </si>
  <si>
    <t>Cost (£)</t>
  </si>
  <si>
    <t>Revenue (£)</t>
  </si>
  <si>
    <t>ROI %</t>
  </si>
  <si>
    <t>CPA (£)</t>
  </si>
  <si>
    <t>Rev/Click</t>
  </si>
  <si>
    <t>Spend Share %</t>
  </si>
  <si>
    <t>£6,600,884</t>
  </si>
  <si>
    <t>£9,844,874</t>
  </si>
  <si>
    <t>£201.04</t>
  </si>
  <si>
    <t>£18.39</t>
  </si>
  <si>
    <t>Display Ads</t>
  </si>
  <si>
    <t>£3,653,116</t>
  </si>
  <si>
    <t>£1,091,607</t>
  </si>
  <si>
    <t>£4.20</t>
  </si>
  <si>
    <t>£1.40</t>
  </si>
  <si>
    <t>Social Media</t>
  </si>
  <si>
    <t>£7,845,721</t>
  </si>
  <si>
    <t>£1,103,806</t>
  </si>
  <si>
    <t>£1098.24</t>
  </si>
  <si>
    <t>£0.41</t>
  </si>
  <si>
    <t>Email</t>
  </si>
  <si>
    <t>£0</t>
  </si>
  <si>
    <t>£7,856,894</t>
  </si>
  <si>
    <t>nan%</t>
  </si>
  <si>
    <t>—</t>
  </si>
  <si>
    <t>£4.99</t>
  </si>
  <si>
    <t>MONTHLY CAMPAIGN TRENDS  |  Revenue vs Cost vs ROI  |  FY 2024</t>
  </si>
  <si>
    <t>Month</t>
  </si>
  <si>
    <t>Quarter</t>
  </si>
  <si>
    <t>MoM Rev Δ</t>
  </si>
  <si>
    <t>Jan-24</t>
  </si>
  <si>
    <t>Q1</t>
  </si>
  <si>
    <t>Feb-24</t>
  </si>
  <si>
    <t>Mar-24</t>
  </si>
  <si>
    <t>Apr-24</t>
  </si>
  <si>
    <t>Q2</t>
  </si>
  <si>
    <t>May-24</t>
  </si>
  <si>
    <t>Jun-24</t>
  </si>
  <si>
    <t>Jul-24</t>
  </si>
  <si>
    <t>Q3</t>
  </si>
  <si>
    <t>Aug-24</t>
  </si>
  <si>
    <t>Sep-24</t>
  </si>
  <si>
    <t>Oct-24</t>
  </si>
  <si>
    <t>Q4</t>
  </si>
  <si>
    <t>Nov-24</t>
  </si>
  <si>
    <t>Dec-24</t>
  </si>
  <si>
    <t>CHANNEL × MONTH ROI HEAT MAP  |  FY 2024  |  Post-Clean Data</t>
  </si>
  <si>
    <t>Channel /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</si>
  <si>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</si>
  <si>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</si>
  <si>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</si>
  <si>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</si>
  <si>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</si>
  <si>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</si>
  <si>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</si>
  <si>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</si>
  <si>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</si>
  <si>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</si>
  <si>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</si>
  <si>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</si>
  <si>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 Avg ROI %</t>
  </si>
  <si>
    <t>STRATEGIC INSIGHTS &amp; BUDGET RECOMMENDATIONS  |  Data-Backed  |  FY 2024 → FY 2025</t>
  </si>
  <si>
    <t xml:space="preserve">  TOP ROI CHANNEL — Paid Search</t>
  </si>
  <si>
    <t>FINDING</t>
  </si>
  <si>
    <t>After cleaning 8,041 raw rows and removing 217 anomaly records, Paid Search delivered the highest ROI at 49.1%. Data from 2,210 clean records. Recommend 25% budget increase in FY 2025.</t>
  </si>
  <si>
    <t>• Increase budget 25%
• Expand campaign coverage
• A/B test ad copy variants</t>
  </si>
  <si>
    <t xml:space="preserve">  UNDERPERFORMER — Social Media</t>
  </si>
  <si>
    <t>Social Media produced the weakest ROI (-85.9%) despite being the highest-spend channel (£7,845,721). High anomaly rate (50 flagged rows) suggests data quality issues at source.</t>
  </si>
  <si>
    <t>• Reduce budget 30% in H1
• Audit tracking implementation
• Retain retargeting only</t>
  </si>
  <si>
    <t xml:space="preserve">  SEASONAL PATTERN — Peaks in Jan-24</t>
  </si>
  <si>
    <t>Monthly trend analysis (post-clean) shows Jan-24 as peak ROI month. Mar-24 is the lowest. Seasonal index spread of 780pp across the year.</t>
  </si>
  <si>
    <t>• Front-load Q4 budget allocation
• Lock placements by Oct 1
• Pre-build Q4 creatives in Sep</t>
  </si>
  <si>
    <t xml:space="preserve">  EMAIL EFFICIENCY — Lowest CPA Channel</t>
  </si>
  <si>
    <t>Email CRM data (1,077 clean records) shows £0 marginal cost per send at row level (fixed-cost channel). CPA calculation excludes platform spend. Personalization segments drove 30%+ lift in clicks vs generic sends.</t>
  </si>
  <si>
    <t>• Scale personalisation logic
• Increase send frequency HVS
• A/B test subject lines weekly</t>
  </si>
  <si>
    <t xml:space="preserve">  DATA QUALITY FINDING — ETL Impact</t>
  </si>
  <si>
    <t>217 rows (2.7% of raw data) were quarantined for anomalies including negative costs, CTR&gt;50%, and revenue outliers &gt;£500K. This is above the 2% industry benchmark and suggests platform API integration issues needing resolution.</t>
  </si>
  <si>
    <t>• Fix Display Network API pull
• Add automated DQ checks
• Set up daily anomaly alerts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</si>
</sst>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\%"/>
    <numFmt numFmtId="165" formatCode="\£#,##0.00"/>
    <numFmt numFmtId="166" formatCode="0.00\%"/>
    <numFmt numFmtId="167" formatCode="0.0"/>
  </numFmts>
  <fonts count="2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66573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2C3E50"/>
      <name val="Arial"/>
      <charset val="1"/>
    </font>
    <font>
      <sz val="9"/>
      <color rgb="FF2C3E50"/>
      <name val="Arial"/>
      <charset val="1"/>
    </font>
    <font>
      <b/>
      <sz val="8"/>
      <color rgb="FFFFFFFF"/>
      <name val="Arial"/>
      <charset val="1"/>
    </font>
    <font>
      <b/>
      <sz val="18"/>
      <color rgb="FF2C3E50"/>
      <name val="Arial"/>
      <charset val="1"/>
    </font>
    <font>
      <b/>
      <sz val="18"/>
      <color rgb="FFC0392B"/>
      <name val="Arial"/>
      <charset val="1"/>
    </font>
    <font>
      <b/>
      <sz val="18"/>
      <color rgb="FF1E8449"/>
      <name val="Arial"/>
      <charset val="1"/>
    </font>
    <font>
      <b/>
      <sz val="18"/>
      <color rgb="FFD68910"/>
      <name val="Arial"/>
      <charset val="1"/>
    </font>
    <font>
      <b/>
      <sz val="18"/>
      <color rgb="FF0E6655"/>
      <name val="Arial"/>
      <charset val="1"/>
    </font>
    <font>
      <b/>
      <sz val="18"/>
      <color rgb="FF566573"/>
      <name val="Arial"/>
      <charset val="1"/>
    </font>
    <font>
      <i/>
      <sz val="8"/>
      <color rgb="FF566573"/>
      <name val="Arial"/>
      <charset val="1"/>
    </font>
    <font>
      <b/>
      <sz val="9"/>
      <color rgb="FF1E8449"/>
      <name val="Arial"/>
      <charset val="1"/>
    </font>
    <font>
      <sz val="9"/>
      <color rgb="FF1E8449"/>
      <name val="Arial"/>
      <charset val="1"/>
    </font>
    <font>
      <b/>
      <sz val="9"/>
      <color rgb="FFC0392B"/>
      <name val="Arial"/>
      <charset val="1"/>
    </font>
    <font>
      <sz val="9"/>
      <color rgb="FFC0392B"/>
      <name val="Arial"/>
      <charset val="1"/>
    </font>
    <font>
      <b/>
      <sz val="9"/>
      <color rgb="FF566573"/>
      <name val="Arial"/>
      <charset val="1"/>
    </font>
    <font>
      <b/>
      <sz val="9"/>
      <color rgb="FF1A5276"/>
      <name val="Arial"/>
      <charset val="1"/>
    </font>
    <font>
      <b/>
      <sz val="9"/>
      <color rgb="FFD68910"/>
      <name val="Arial"/>
      <charset val="1"/>
    </font>
    <font>
      <b/>
      <sz val="9"/>
      <color rgb="FF0E6655"/>
      <name val="Arial"/>
      <charset val="1"/>
    </font>
    <font>
      <sz val="9"/>
      <color rgb="FF2C3E50"/>
      <name val="Arial"/>
      <family val="2"/>
    </font>
    <font>
      <b/>
      <sz val="9"/>
      <color rgb="FFFFFFFF"/>
      <name val="Arial"/>
      <family val="2"/>
    </font>
    <font>
      <b/>
      <sz val="18"/>
      <color rgb="FF1A5276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2C3E50"/>
        <bgColor rgb="FF1A5276"/>
      </patternFill>
    </fill>
    <fill>
      <patternFill patternType="solid">
        <fgColor rgb="FFECF0F1"/>
        <bgColor rgb="FFFDEDEC"/>
      </patternFill>
    </fill>
    <fill>
      <patternFill patternType="solid">
        <fgColor rgb="FFFFFFFF"/>
        <bgColor rgb="FFF9F9F9"/>
      </patternFill>
    </fill>
    <fill>
      <patternFill patternType="solid">
        <fgColor rgb="FF1E8449"/>
        <bgColor rgb="FF008080"/>
      </patternFill>
    </fill>
    <fill>
      <patternFill patternType="solid">
        <fgColor rgb="FF1A5276"/>
        <bgColor rgb="FF0E6655"/>
      </patternFill>
    </fill>
    <fill>
      <patternFill patternType="solid">
        <fgColor rgb="FFD68910"/>
        <bgColor rgb="FFFF6600"/>
      </patternFill>
    </fill>
    <fill>
      <patternFill patternType="solid">
        <fgColor rgb="FF0E6655"/>
        <bgColor rgb="FF1A5276"/>
      </patternFill>
    </fill>
    <fill>
      <patternFill patternType="solid">
        <fgColor rgb="FF566573"/>
        <bgColor rgb="FF1A5276"/>
      </patternFill>
    </fill>
    <fill>
      <patternFill patternType="solid">
        <fgColor rgb="FFD5F5E3"/>
        <bgColor rgb="FFD6EAF8"/>
      </patternFill>
    </fill>
    <fill>
      <patternFill patternType="solid">
        <fgColor rgb="FFFDEDEC"/>
        <bgColor rgb="FFECF0F1"/>
      </patternFill>
    </fill>
    <fill>
      <patternFill patternType="solid">
        <fgColor rgb="FFFADBD8"/>
        <bgColor rgb="FFFDEDEC"/>
      </patternFill>
    </fill>
    <fill>
      <patternFill patternType="solid">
        <fgColor rgb="FFD6EAF8"/>
        <bgColor rgb="FFD5F5E3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166" fontId="6" fillId="4" borderId="1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7" fontId="15" fillId="11" borderId="1" xfId="0" applyNumberFormat="1" applyFont="1" applyFill="1" applyBorder="1" applyAlignment="1">
      <alignment horizontal="center" vertical="center" wrapText="1"/>
    </xf>
    <xf numFmtId="167" fontId="17" fillId="13" borderId="1" xfId="0" applyNumberFormat="1" applyFont="1" applyFill="1" applyBorder="1" applyAlignment="1">
      <alignment horizontal="center" vertical="center" wrapText="1"/>
    </xf>
    <xf numFmtId="167" fontId="5" fillId="5" borderId="1" xfId="0" applyNumberFormat="1" applyFont="1" applyFill="1" applyBorder="1" applyAlignment="1">
      <alignment horizontal="center" vertical="center" wrapText="1"/>
    </xf>
    <xf numFmtId="167" fontId="20" fillId="14" borderId="1" xfId="0" applyNumberFormat="1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10" fontId="6" fillId="4" borderId="1" xfId="0" applyNumberFormat="1" applyFont="1" applyFill="1" applyBorder="1" applyAlignment="1">
      <alignment horizontal="right" vertical="center"/>
    </xf>
    <xf numFmtId="10" fontId="6" fillId="5" borderId="1" xfId="0" applyNumberFormat="1" applyFont="1" applyFill="1" applyBorder="1" applyAlignment="1">
      <alignment horizontal="right" vertical="center"/>
    </xf>
    <xf numFmtId="2" fontId="6" fillId="4" borderId="1" xfId="0" applyNumberFormat="1" applyFont="1" applyFill="1" applyBorder="1" applyAlignment="1">
      <alignment horizontal="right" vertical="center"/>
    </xf>
    <xf numFmtId="2" fontId="6" fillId="5" borderId="1" xfId="0" applyNumberFormat="1" applyFont="1" applyFill="1" applyBorder="1" applyAlignment="1">
      <alignment horizontal="right" vertical="center"/>
    </xf>
    <xf numFmtId="0" fontId="5" fillId="4" borderId="1" xfId="0" applyNumberFormat="1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2" fontId="16" fillId="11" borderId="1" xfId="0" applyNumberFormat="1" applyFont="1" applyFill="1" applyBorder="1" applyAlignment="1">
      <alignment horizontal="right" vertical="center"/>
    </xf>
    <xf numFmtId="3" fontId="16" fillId="11" borderId="1" xfId="0" applyNumberFormat="1" applyFont="1" applyFill="1" applyBorder="1" applyAlignment="1">
      <alignment horizontal="right" vertical="center"/>
    </xf>
    <xf numFmtId="10" fontId="16" fillId="11" borderId="1" xfId="0" applyNumberFormat="1" applyFont="1" applyFill="1" applyBorder="1" applyAlignment="1">
      <alignment horizontal="right" vertical="center"/>
    </xf>
    <xf numFmtId="10" fontId="12" fillId="5" borderId="1" xfId="0" applyNumberFormat="1" applyFont="1" applyFill="1" applyBorder="1" applyAlignment="1">
      <alignment horizontal="center" vertical="center" wrapText="1"/>
    </xf>
    <xf numFmtId="10" fontId="13" fillId="5" borderId="1" xfId="0" applyNumberFormat="1" applyFont="1" applyFill="1" applyBorder="1" applyAlignment="1">
      <alignment horizontal="center" vertical="center" wrapText="1"/>
    </xf>
    <xf numFmtId="3" fontId="10" fillId="5" borderId="1" xfId="0" applyNumberFormat="1" applyFont="1" applyFill="1" applyBorder="1" applyAlignment="1">
      <alignment horizontal="center" vertical="center" wrapText="1"/>
    </xf>
    <xf numFmtId="3" fontId="9" fillId="5" borderId="1" xfId="0" applyNumberFormat="1" applyFont="1" applyFill="1" applyBorder="1" applyAlignment="1">
      <alignment horizontal="center" vertical="center" wrapText="1"/>
    </xf>
    <xf numFmtId="4" fontId="8" fillId="5" borderId="1" xfId="0" applyNumberFormat="1" applyFont="1" applyFill="1" applyBorder="1" applyAlignment="1">
      <alignment horizontal="center" vertical="center" wrapText="1"/>
    </xf>
    <xf numFmtId="1" fontId="23" fillId="4" borderId="1" xfId="0" applyNumberFormat="1" applyFont="1" applyFill="1" applyBorder="1" applyAlignment="1">
      <alignment horizontal="right" vertical="center"/>
    </xf>
    <xf numFmtId="1" fontId="6" fillId="4" borderId="1" xfId="0" applyNumberFormat="1" applyFont="1" applyFill="1" applyBorder="1" applyAlignment="1">
      <alignment horizontal="right" vertical="center"/>
    </xf>
    <xf numFmtId="1" fontId="6" fillId="5" borderId="1" xfId="0" applyNumberFormat="1" applyFont="1" applyFill="1" applyBorder="1" applyAlignment="1">
      <alignment horizontal="right" vertical="center"/>
    </xf>
    <xf numFmtId="0" fontId="24" fillId="3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10" fontId="16" fillId="11" borderId="2" xfId="0" applyNumberFormat="1" applyFont="1" applyFill="1" applyBorder="1" applyAlignment="1">
      <alignment horizontal="right" vertical="center"/>
    </xf>
    <xf numFmtId="10" fontId="6" fillId="5" borderId="2" xfId="0" applyNumberFormat="1" applyFont="1" applyFill="1" applyBorder="1" applyAlignment="1">
      <alignment horizontal="right" vertical="center"/>
    </xf>
    <xf numFmtId="10" fontId="6" fillId="4" borderId="2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7" fillId="12" borderId="7" xfId="0" applyFont="1" applyFill="1" applyBorder="1" applyAlignment="1">
      <alignment horizontal="center" vertical="center" wrapText="1"/>
    </xf>
    <xf numFmtId="3" fontId="18" fillId="12" borderId="8" xfId="0" applyNumberFormat="1" applyFont="1" applyFill="1" applyBorder="1" applyAlignment="1">
      <alignment horizontal="right" vertical="center"/>
    </xf>
    <xf numFmtId="10" fontId="18" fillId="12" borderId="8" xfId="0" applyNumberFormat="1" applyFont="1" applyFill="1" applyBorder="1" applyAlignment="1">
      <alignment horizontal="right" vertical="center"/>
    </xf>
    <xf numFmtId="2" fontId="18" fillId="12" borderId="8" xfId="0" applyNumberFormat="1" applyFont="1" applyFill="1" applyBorder="1" applyAlignment="1">
      <alignment horizontal="right" vertical="center"/>
    </xf>
    <xf numFmtId="10" fontId="18" fillId="12" borderId="9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4"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fill>
        <patternFill patternType="solid">
          <fgColor rgb="FF993366"/>
          <bgColor rgb="FFC0392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655"/>
      <rgbColor rgb="FFCCCCCC"/>
      <rgbColor rgb="FF878787"/>
      <rgbColor rgb="FF9999FF"/>
      <rgbColor rgb="FF993366"/>
      <rgbColor rgb="FFF9F9F9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0F1"/>
      <rgbColor rgb="FFD5F5E3"/>
      <rgbColor rgb="FFFDEDEC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D68910"/>
      <rgbColor rgb="FFFF6600"/>
      <rgbColor rgb="FF566573"/>
      <rgbColor rgb="FF969696"/>
      <rgbColor rgb="FF1A5276"/>
      <rgbColor rgb="FF1E8449"/>
      <rgbColor rgb="FF003300"/>
      <rgbColor rgb="FF333300"/>
      <rgbColor rgb="FFC0392B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vs Spend (£)  —  FY 2024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61433510309915"/>
          <c:y val="0.10327004390627915"/>
          <c:w val="0.75173835178497428"/>
          <c:h val="0.772384289505506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'📈 Monthly Trends'!$G$3</c:f>
              <c:strCache>
                <c:ptCount val="1"/>
                <c:pt idx="0">
                  <c:v>Revenue (£)</c:v>
                </c:pt>
              </c:strCache>
            </c:strRef>
          </c:tx>
          <c:spPr>
            <a:solidFill>
              <a:srgbClr val="1A527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'📈 Monthly Trends'!$A$4:$A$15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'📈 Monthly Trends'!$G$4:$G$15</c:f>
              <c:numCache>
                <c:formatCode>0</c:formatCode>
                <c:ptCount val="12"/>
                <c:pt idx="0">
                  <c:v>1576766</c:v>
                </c:pt>
                <c:pt idx="1">
                  <c:v>1571061</c:v>
                </c:pt>
                <c:pt idx="2">
                  <c:v>1857863</c:v>
                </c:pt>
                <c:pt idx="3">
                  <c:v>1595619</c:v>
                </c:pt>
                <c:pt idx="4">
                  <c:v>1762165</c:v>
                </c:pt>
                <c:pt idx="5">
                  <c:v>1740688</c:v>
                </c:pt>
                <c:pt idx="6">
                  <c:v>1800071</c:v>
                </c:pt>
                <c:pt idx="7">
                  <c:v>1631607</c:v>
                </c:pt>
                <c:pt idx="8">
                  <c:v>1613707</c:v>
                </c:pt>
                <c:pt idx="9">
                  <c:v>1636312</c:v>
                </c:pt>
                <c:pt idx="10">
                  <c:v>1417284</c:v>
                </c:pt>
                <c:pt idx="11">
                  <c:v>1694036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3-48D6-AD2A-B771A7C116FD}"/>
            </c:ext>
          </c:extLst>
        </c:ser>
        <c:ser>
          <c:idx val="1"/>
          <c:order val="1"/>
          <c:tx>
            <c:strRef>
              <c:f>'📈 Monthly Trends'!$F$3</c:f>
              <c:strCache>
                <c:ptCount val="1"/>
                <c:pt idx="0">
                  <c:v>Cost (£)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'📈 Monthly Trends'!$A$4:$A$15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'📈 Monthly Trends'!$F$4:$F$15</c:f>
              <c:numCache>
                <c:formatCode>0</c:formatCode>
                <c:ptCount val="12"/>
                <c:pt idx="0">
                  <c:v>189391</c:v>
                </c:pt>
                <c:pt idx="1">
                  <c:v>772844</c:v>
                </c:pt>
                <c:pt idx="2">
                  <c:v>3503436</c:v>
                </c:pt>
                <c:pt idx="3">
                  <c:v>714558</c:v>
                </c:pt>
                <c:pt idx="4">
                  <c:v>1099680</c:v>
                </c:pt>
                <c:pt idx="5">
                  <c:v>1858934</c:v>
                </c:pt>
                <c:pt idx="6">
                  <c:v>1425822</c:v>
                </c:pt>
                <c:pt idx="7">
                  <c:v>1517377</c:v>
                </c:pt>
                <c:pt idx="8">
                  <c:v>1949345</c:v>
                </c:pt>
                <c:pt idx="9">
                  <c:v>1544713</c:v>
                </c:pt>
                <c:pt idx="10">
                  <c:v>2175804</c:v>
                </c:pt>
                <c:pt idx="11">
                  <c:v>1347818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C3-48D6-AD2A-B771A7C11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263111"/>
        <c:axId val="7790241"/>
      </c:barChart>
      <c:catAx>
        <c:axId val="582631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90241"/>
        <c:crosses val="autoZero"/>
        <c:auto val="1"/>
        <c:lblAlgn val="ctr"/>
        <c:lblOffset val="100"/>
        <c:noMultiLvlLbl val="0"/>
      </c:catAx>
      <c:valAx>
        <c:axId val="77902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  <a:effectLst>
              <a:glow>
                <a:schemeClr val="accent1"/>
              </a:glow>
              <a:outerShdw sx="1000" sy="1000" algn="ctr" rotWithShape="0">
                <a:srgbClr val="000000">
                  <a:alpha val="0"/>
                </a:srgbClr>
              </a:outerShdw>
              <a:softEdge rad="0"/>
            </a:effectLst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(£)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[$£-809]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263111"/>
        <c:crosses val="autoZero"/>
        <c:crossBetween val="between"/>
      </c:valAx>
      <c:spPr>
        <a:noFill/>
        <a:ln>
          <a:solidFill>
            <a:srgbClr val="D9D9D9"/>
          </a:solidFill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ROI Trend (%)  —  FY 2024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Monthly Trends'!$H$3</c:f>
              <c:strCache>
                <c:ptCount val="1"/>
                <c:pt idx="0">
                  <c:v>ROI %</c:v>
                </c:pt>
              </c:strCache>
            </c:strRef>
          </c:tx>
          <c:spPr>
            <a:ln w="28080">
              <a:solidFill>
                <a:srgbClr val="1E844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Monthly Trends'!$A$4:$A$15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'📈 Monthly Trends'!$H$4:$H$15</c:f>
              <c:numCache>
                <c:formatCode>0.00%</c:formatCode>
                <c:ptCount val="12"/>
                <c:pt idx="0">
                  <c:v>7.3250000000000002</c:v>
                </c:pt>
                <c:pt idx="1">
                  <c:v>1.0329999999999999</c:v>
                </c:pt>
                <c:pt idx="2">
                  <c:v>-0.47</c:v>
                </c:pt>
                <c:pt idx="3">
                  <c:v>1.2330000000000001</c:v>
                </c:pt>
                <c:pt idx="4">
                  <c:v>0.60199999999999998</c:v>
                </c:pt>
                <c:pt idx="5">
                  <c:v>-6.4000000000000001E-2</c:v>
                </c:pt>
                <c:pt idx="6">
                  <c:v>0.26200000000000001</c:v>
                </c:pt>
                <c:pt idx="7">
                  <c:v>7.4999999999999997E-2</c:v>
                </c:pt>
                <c:pt idx="8">
                  <c:v>-0.17199999999999999</c:v>
                </c:pt>
                <c:pt idx="9">
                  <c:v>5.8999999999999997E-2</c:v>
                </c:pt>
                <c:pt idx="10">
                  <c:v>-0.34899999999999998</c:v>
                </c:pt>
                <c:pt idx="11">
                  <c:v>0.25700000000000001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8D-4FDA-99FB-FD36CA722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4507471"/>
        <c:axId val="59284597"/>
      </c:lineChart>
      <c:catAx>
        <c:axId val="745074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284597"/>
        <c:crosses val="autoZero"/>
        <c:auto val="1"/>
        <c:lblAlgn val="ctr"/>
        <c:lblOffset val="100"/>
        <c:noMultiLvlLbl val="0"/>
      </c:catAx>
      <c:valAx>
        <c:axId val="59284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ROI (%)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507471"/>
        <c:crosses val="autoZero"/>
        <c:crossBetween val="between"/>
      </c:valAx>
      <c:spPr>
        <a:noFill/>
        <a:ln w="0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132080</xdr:colOff>
      <xdr:row>3</xdr:row>
      <xdr:rowOff>142240</xdr:rowOff>
    </xdr:from>
    <xdr:to>
      <xdr:col>26</xdr:col>
      <xdr:colOff>0</xdr:colOff>
      <xdr:row>27</xdr:row>
      <xdr:rowOff>40640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176893</xdr:colOff>
      <xdr:row>16</xdr:row>
      <xdr:rowOff>68035</xdr:rowOff>
    </xdr:from>
    <xdr:to>
      <xdr:col>9</xdr:col>
      <xdr:colOff>336832</xdr:colOff>
      <xdr:row>42</xdr:row>
      <xdr:rowOff>154795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B9:M13" totalsRowShown="0" headerRowDxfId="3" headerRowBorderDxfId="2" tableBorderDxfId="1" totalsRowBorderDxfId="0">
  <autoFilter ref="B9:M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Channel"/>
    <tableColumn id="2" name="Impressions"/>
    <tableColumn id="3" name="Clicks"/>
    <tableColumn id="4" name="CTR %"/>
    <tableColumn id="5" name="Conversions"/>
    <tableColumn id="6" name="CVR %"/>
    <tableColumn id="7" name="Cost (£)"/>
    <tableColumn id="8" name="Revenue (£)"/>
    <tableColumn id="9" name="ROI %"/>
    <tableColumn id="10" name="CPA (£)"/>
    <tableColumn id="11" name="Rev/Click"/>
    <tableColumn id="12" name="Spend Share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C3E50"/>
  </sheetPr>
  <dimension ref="A1:H22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28" customWidth="1"/>
    <col min="2" max="2" width="16" customWidth="1"/>
    <col min="3" max="3" width="56" customWidth="1"/>
    <col min="4" max="4" width="20" customWidth="1"/>
    <col min="5" max="5" width="12" customWidth="1"/>
    <col min="6" max="6" width="13" customWidth="1"/>
    <col min="7" max="8" width="52" customWidth="1"/>
  </cols>
  <sheetData>
    <row r="1" spans="1:8" ht="33.75" customHeight="1" x14ac:dyDescent="0.3">
      <c r="A1" s="78" t="s">
        <v>0</v>
      </c>
      <c r="B1" s="78"/>
      <c r="C1" s="78"/>
      <c r="D1" s="78"/>
      <c r="E1" s="78"/>
      <c r="F1" s="78"/>
      <c r="G1" s="78"/>
      <c r="H1" s="78"/>
    </row>
    <row r="2" spans="1:8" ht="18" customHeight="1" x14ac:dyDescent="0.3">
      <c r="A2" s="79" t="s">
        <v>1</v>
      </c>
      <c r="B2" s="79"/>
      <c r="C2" s="79"/>
      <c r="D2" s="79"/>
      <c r="E2" s="79"/>
      <c r="F2" s="79"/>
      <c r="G2" s="79"/>
      <c r="H2" s="79"/>
    </row>
    <row r="4" spans="1:8" ht="15.75" customHeight="1" x14ac:dyDescent="0.3">
      <c r="A4" s="80" t="s">
        <v>2</v>
      </c>
      <c r="B4" s="80"/>
      <c r="C4" s="80"/>
      <c r="D4" s="80"/>
      <c r="E4" s="80"/>
      <c r="F4" s="80"/>
      <c r="G4" s="80"/>
      <c r="H4" s="80"/>
    </row>
    <row r="5" spans="1:8" ht="27.75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8" ht="25.5" customHeight="1" x14ac:dyDescent="0.3">
      <c r="A6" s="2" t="s">
        <v>10</v>
      </c>
      <c r="B6" s="3">
        <v>2710</v>
      </c>
      <c r="C6" s="3">
        <v>2543</v>
      </c>
      <c r="D6" s="3">
        <v>42</v>
      </c>
      <c r="E6" s="3">
        <v>2466</v>
      </c>
      <c r="F6" s="4">
        <f>D6/B6*100</f>
        <v>1.5498154981549817</v>
      </c>
      <c r="G6" s="5" t="s">
        <v>11</v>
      </c>
    </row>
    <row r="7" spans="1:8" ht="25.5" customHeight="1" x14ac:dyDescent="0.3">
      <c r="A7" s="6" t="s">
        <v>12</v>
      </c>
      <c r="B7" s="7">
        <v>2267</v>
      </c>
      <c r="C7" s="7">
        <v>2048</v>
      </c>
      <c r="D7" s="7">
        <v>38</v>
      </c>
      <c r="E7" s="7">
        <v>1981</v>
      </c>
      <c r="F7" s="8">
        <f>D7/B7*100</f>
        <v>1.6762240846934273</v>
      </c>
      <c r="G7" s="9" t="s">
        <v>13</v>
      </c>
    </row>
    <row r="8" spans="1:8" ht="25.5" customHeight="1" x14ac:dyDescent="0.3">
      <c r="A8" s="2" t="s">
        <v>14</v>
      </c>
      <c r="B8" s="3">
        <v>1340</v>
      </c>
      <c r="C8" s="3">
        <v>1251</v>
      </c>
      <c r="D8" s="3">
        <v>29</v>
      </c>
      <c r="E8" s="3">
        <v>1215</v>
      </c>
      <c r="F8" s="4">
        <f>D8/B8*100</f>
        <v>2.1641791044776122</v>
      </c>
      <c r="G8" s="5" t="s">
        <v>15</v>
      </c>
    </row>
    <row r="9" spans="1:8" ht="25.5" customHeight="1" x14ac:dyDescent="0.3">
      <c r="A9" s="6" t="s">
        <v>16</v>
      </c>
      <c r="B9" s="7">
        <v>1724</v>
      </c>
      <c r="C9" s="7">
        <v>1545</v>
      </c>
      <c r="D9" s="7">
        <v>50</v>
      </c>
      <c r="E9" s="7">
        <v>1480</v>
      </c>
      <c r="F9" s="8">
        <f>D9/B9*100</f>
        <v>2.9002320185614847</v>
      </c>
      <c r="G9" s="9" t="s">
        <v>17</v>
      </c>
    </row>
    <row r="10" spans="1:8" ht="25.5" customHeight="1" x14ac:dyDescent="0.3">
      <c r="A10" s="2" t="s">
        <v>18</v>
      </c>
      <c r="B10" s="3">
        <v>7</v>
      </c>
      <c r="C10" s="3">
        <v>5</v>
      </c>
      <c r="D10" s="3">
        <v>2</v>
      </c>
      <c r="E10" s="3">
        <v>5</v>
      </c>
      <c r="F10" s="4">
        <f>D10/B10*100</f>
        <v>28.571428571428569</v>
      </c>
      <c r="G10" s="5" t="s">
        <v>19</v>
      </c>
    </row>
    <row r="11" spans="1:8" ht="25.5" customHeight="1" x14ac:dyDescent="0.3">
      <c r="A11" s="10" t="s">
        <v>20</v>
      </c>
      <c r="B11" s="10">
        <f>SUM(B6:B10)</f>
        <v>8048</v>
      </c>
      <c r="C11" s="10">
        <f>SUM(C6:C10)</f>
        <v>7392</v>
      </c>
      <c r="D11" s="10">
        <f>SUM(D6:D10)</f>
        <v>161</v>
      </c>
      <c r="E11" s="10">
        <f>SUM(E6:E10)</f>
        <v>7147</v>
      </c>
      <c r="F11" s="11">
        <f>E11/B11*100</f>
        <v>88.804671968190846</v>
      </c>
      <c r="G11" s="10"/>
    </row>
    <row r="13" spans="1:8" ht="18" customHeight="1" x14ac:dyDescent="0.3">
      <c r="A13" s="81" t="s">
        <v>21</v>
      </c>
      <c r="B13" s="81"/>
      <c r="C13" s="81"/>
      <c r="D13" s="81"/>
      <c r="E13" s="81"/>
      <c r="F13" s="81"/>
      <c r="G13" s="81"/>
      <c r="H13" s="81"/>
    </row>
    <row r="14" spans="1:8" ht="21.75" customHeight="1" x14ac:dyDescent="0.3">
      <c r="A14" s="12" t="s">
        <v>22</v>
      </c>
      <c r="B14" s="12" t="s">
        <v>23</v>
      </c>
      <c r="C14" s="12" t="s">
        <v>24</v>
      </c>
    </row>
    <row r="15" spans="1:8" ht="19.5" customHeight="1" x14ac:dyDescent="0.3">
      <c r="A15" s="9" t="s">
        <v>25</v>
      </c>
      <c r="B15" s="7" t="s">
        <v>26</v>
      </c>
      <c r="C15" s="9" t="s">
        <v>27</v>
      </c>
    </row>
    <row r="16" spans="1:8" ht="19.5" customHeight="1" x14ac:dyDescent="0.3">
      <c r="A16" s="5" t="s">
        <v>28</v>
      </c>
      <c r="B16" s="3" t="s">
        <v>29</v>
      </c>
      <c r="C16" s="5" t="s">
        <v>30</v>
      </c>
    </row>
    <row r="17" spans="1:3" ht="19.5" customHeight="1" x14ac:dyDescent="0.3">
      <c r="A17" s="9" t="s">
        <v>31</v>
      </c>
      <c r="B17" s="7" t="s">
        <v>32</v>
      </c>
      <c r="C17" s="9" t="s">
        <v>33</v>
      </c>
    </row>
    <row r="18" spans="1:3" ht="19.5" customHeight="1" x14ac:dyDescent="0.3">
      <c r="A18" s="5" t="s">
        <v>34</v>
      </c>
      <c r="B18" s="3" t="s">
        <v>35</v>
      </c>
      <c r="C18" s="5" t="s">
        <v>36</v>
      </c>
    </row>
    <row r="19" spans="1:3" ht="19.5" customHeight="1" x14ac:dyDescent="0.3">
      <c r="A19" s="9" t="s">
        <v>37</v>
      </c>
      <c r="B19" s="7" t="s">
        <v>38</v>
      </c>
      <c r="C19" s="9" t="s">
        <v>39</v>
      </c>
    </row>
    <row r="20" spans="1:3" ht="19.5" customHeight="1" x14ac:dyDescent="0.3">
      <c r="A20" s="5" t="s">
        <v>40</v>
      </c>
      <c r="B20" s="3" t="s">
        <v>41</v>
      </c>
      <c r="C20" s="5" t="s">
        <v>42</v>
      </c>
    </row>
    <row r="21" spans="1:3" ht="19.5" customHeight="1" x14ac:dyDescent="0.3">
      <c r="A21" s="9" t="s">
        <v>43</v>
      </c>
      <c r="B21" s="7" t="s">
        <v>44</v>
      </c>
      <c r="C21" s="9" t="s">
        <v>45</v>
      </c>
    </row>
    <row r="22" spans="1:3" ht="19.5" customHeight="1" x14ac:dyDescent="0.3">
      <c r="A22" s="5" t="s">
        <v>46</v>
      </c>
      <c r="B22" s="3" t="s">
        <v>47</v>
      </c>
      <c r="C22" s="5" t="s">
        <v>48</v>
      </c>
    </row>
  </sheetData>
  <mergeCells count="4">
    <mergeCell ref="A1:H1"/>
    <mergeCell ref="A2:H2"/>
    <mergeCell ref="A4:H4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66573"/>
  </sheetPr>
  <dimension ref="A1:L502"/>
  <sheetViews>
    <sheetView showGridLines="0" zoomScaleNormal="100" workbookViewId="0">
      <pane ySplit="2" topLeftCell="A19" activePane="bottomLeft" state="frozen"/>
      <selection pane="bottomLeft" activeCell="C29" sqref="C29"/>
    </sheetView>
  </sheetViews>
  <sheetFormatPr defaultColWidth="8.6640625" defaultRowHeight="14.4" x14ac:dyDescent="0.3"/>
  <cols>
    <col min="1" max="1" width="9" bestFit="1" customWidth="1"/>
    <col min="2" max="2" width="9.6640625" bestFit="1" customWidth="1"/>
    <col min="3" max="3" width="17.33203125" bestFit="1" customWidth="1"/>
    <col min="4" max="4" width="10.33203125" bestFit="1" customWidth="1"/>
    <col min="5" max="5" width="5.21875" bestFit="1" customWidth="1"/>
    <col min="6" max="6" width="10.109375" bestFit="1" customWidth="1"/>
    <col min="7" max="7" width="10.5546875" bestFit="1" customWidth="1"/>
    <col min="8" max="8" width="11.33203125" bestFit="1" customWidth="1"/>
    <col min="9" max="9" width="6.21875" bestFit="1" customWidth="1"/>
    <col min="10" max="10" width="6.6640625" bestFit="1" customWidth="1"/>
    <col min="11" max="11" width="7.109375" bestFit="1" customWidth="1"/>
    <col min="12" max="12" width="10.109375" bestFit="1" customWidth="1"/>
  </cols>
  <sheetData>
    <row r="1" spans="1:12" ht="16.8" x14ac:dyDescent="0.3">
      <c r="A1" s="78" t="s">
        <v>49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3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K2" s="1" t="s">
        <v>60</v>
      </c>
      <c r="L2" s="1" t="s">
        <v>61</v>
      </c>
    </row>
    <row r="3" spans="1:12" x14ac:dyDescent="0.3">
      <c r="A3" s="13" t="s">
        <v>62</v>
      </c>
      <c r="B3" s="9" t="s">
        <v>63</v>
      </c>
      <c r="C3" s="9" t="s">
        <v>64</v>
      </c>
      <c r="D3" s="14">
        <v>5163.1934971214396</v>
      </c>
      <c r="E3" s="14">
        <v>372.45092669202597</v>
      </c>
      <c r="F3" s="15">
        <v>1323.1537931805999</v>
      </c>
      <c r="G3" s="14">
        <v>11.079618265031</v>
      </c>
      <c r="H3" s="15">
        <v>2735.5066387153702</v>
      </c>
      <c r="I3" s="16">
        <v>7.2135999999999996</v>
      </c>
      <c r="J3" s="16">
        <v>2.9748000000000001</v>
      </c>
      <c r="K3" s="17">
        <v>106.74</v>
      </c>
      <c r="L3" s="15">
        <v>119.42</v>
      </c>
    </row>
    <row r="4" spans="1:12" x14ac:dyDescent="0.3">
      <c r="A4" s="18" t="s">
        <v>65</v>
      </c>
      <c r="B4" s="5" t="s">
        <v>63</v>
      </c>
      <c r="C4" s="5" t="s">
        <v>64</v>
      </c>
      <c r="D4" s="19">
        <v>5491</v>
      </c>
      <c r="E4" s="19">
        <v>423</v>
      </c>
      <c r="F4" s="20">
        <v>1827.17</v>
      </c>
      <c r="G4" s="19">
        <v>15</v>
      </c>
      <c r="H4" s="20">
        <v>6994.38</v>
      </c>
      <c r="I4" s="21">
        <v>7.7035</v>
      </c>
      <c r="J4" s="21">
        <v>3.5461</v>
      </c>
      <c r="K4" s="22">
        <v>282.8</v>
      </c>
      <c r="L4" s="20">
        <v>121.81</v>
      </c>
    </row>
    <row r="5" spans="1:12" x14ac:dyDescent="0.3">
      <c r="A5" s="13" t="s">
        <v>66</v>
      </c>
      <c r="B5" s="9" t="s">
        <v>63</v>
      </c>
      <c r="C5" s="9" t="s">
        <v>67</v>
      </c>
      <c r="D5" s="14">
        <v>1287</v>
      </c>
      <c r="E5" s="14">
        <v>0</v>
      </c>
      <c r="F5" s="15">
        <v>256.27999999999997</v>
      </c>
      <c r="G5" s="14">
        <v>8</v>
      </c>
      <c r="H5" s="15">
        <v>2419.4899999999998</v>
      </c>
      <c r="I5" s="16">
        <v>0</v>
      </c>
      <c r="J5" s="16">
        <v>0</v>
      </c>
      <c r="K5" s="17">
        <v>844.08</v>
      </c>
      <c r="L5" s="15">
        <v>32.03</v>
      </c>
    </row>
    <row r="6" spans="1:12" x14ac:dyDescent="0.3">
      <c r="A6" s="18" t="s">
        <v>68</v>
      </c>
      <c r="B6" s="5" t="s">
        <v>63</v>
      </c>
      <c r="C6" s="5" t="s">
        <v>69</v>
      </c>
      <c r="D6" s="19">
        <v>629865.20834300295</v>
      </c>
      <c r="E6" s="19">
        <v>202</v>
      </c>
      <c r="F6" s="20">
        <v>680.66</v>
      </c>
      <c r="G6" s="19">
        <v>0</v>
      </c>
      <c r="H6" s="20">
        <v>4545.29</v>
      </c>
      <c r="I6" s="21">
        <v>3.2099999999999997E-2</v>
      </c>
      <c r="J6" s="21">
        <v>0</v>
      </c>
      <c r="K6" s="22">
        <v>567.78</v>
      </c>
      <c r="L6" s="20">
        <v>0</v>
      </c>
    </row>
    <row r="7" spans="1:12" x14ac:dyDescent="0.3">
      <c r="A7" s="13" t="s">
        <v>70</v>
      </c>
      <c r="B7" s="9" t="s">
        <v>63</v>
      </c>
      <c r="C7" s="9" t="s">
        <v>71</v>
      </c>
      <c r="D7" s="14">
        <v>0</v>
      </c>
      <c r="E7" s="14">
        <v>130</v>
      </c>
      <c r="F7" s="15">
        <v>428.69</v>
      </c>
      <c r="G7" s="14">
        <v>5</v>
      </c>
      <c r="H7" s="15">
        <v>1919.08</v>
      </c>
      <c r="I7" s="16">
        <v>0</v>
      </c>
      <c r="J7" s="16">
        <v>3.8462000000000001</v>
      </c>
      <c r="K7" s="17">
        <v>347.66</v>
      </c>
      <c r="L7" s="15">
        <v>85.74</v>
      </c>
    </row>
    <row r="8" spans="1:12" x14ac:dyDescent="0.3">
      <c r="A8" s="18" t="s">
        <v>72</v>
      </c>
      <c r="B8" s="5" t="s">
        <v>63</v>
      </c>
      <c r="C8" s="5" t="s">
        <v>73</v>
      </c>
      <c r="D8" s="19">
        <v>1559</v>
      </c>
      <c r="E8" s="19">
        <v>58</v>
      </c>
      <c r="F8" s="20">
        <v>221.77</v>
      </c>
      <c r="G8" s="19">
        <v>2</v>
      </c>
      <c r="H8" s="20">
        <v>0</v>
      </c>
      <c r="I8" s="21">
        <v>3.7202999999999999</v>
      </c>
      <c r="J8" s="21">
        <v>3.4483000000000001</v>
      </c>
      <c r="K8" s="22">
        <v>-100</v>
      </c>
      <c r="L8" s="20">
        <v>110.88</v>
      </c>
    </row>
    <row r="9" spans="1:12" x14ac:dyDescent="0.3">
      <c r="A9" s="13" t="s">
        <v>74</v>
      </c>
      <c r="B9" s="9" t="s">
        <v>63</v>
      </c>
      <c r="C9" s="9" t="s">
        <v>64</v>
      </c>
      <c r="D9" s="14">
        <v>7135</v>
      </c>
      <c r="E9" s="14">
        <v>497</v>
      </c>
      <c r="F9" s="15">
        <v>1301.0899999999999</v>
      </c>
      <c r="G9" s="14">
        <v>22</v>
      </c>
      <c r="H9" s="15">
        <v>7288.12</v>
      </c>
      <c r="I9" s="16">
        <v>6.9657</v>
      </c>
      <c r="J9" s="16">
        <v>4.4265999999999996</v>
      </c>
      <c r="K9" s="17">
        <v>460.15</v>
      </c>
      <c r="L9" s="15">
        <v>59.14</v>
      </c>
    </row>
    <row r="10" spans="1:12" x14ac:dyDescent="0.3">
      <c r="A10" s="18" t="s">
        <v>75</v>
      </c>
      <c r="B10" s="5" t="s">
        <v>63</v>
      </c>
      <c r="C10" s="5" t="s">
        <v>69</v>
      </c>
      <c r="D10" s="19">
        <v>0</v>
      </c>
      <c r="E10" s="19">
        <v>81</v>
      </c>
      <c r="F10" s="20">
        <v>221.55</v>
      </c>
      <c r="G10" s="19">
        <v>6</v>
      </c>
      <c r="H10" s="20">
        <v>2492.5700000000002</v>
      </c>
      <c r="I10" s="21">
        <v>0</v>
      </c>
      <c r="J10" s="21">
        <v>7.4074</v>
      </c>
      <c r="K10" s="22">
        <v>1025.06</v>
      </c>
      <c r="L10" s="20">
        <v>36.93</v>
      </c>
    </row>
    <row r="11" spans="1:12" x14ac:dyDescent="0.3">
      <c r="A11" s="13" t="s">
        <v>76</v>
      </c>
      <c r="B11" s="9" t="s">
        <v>63</v>
      </c>
      <c r="C11" s="9" t="s">
        <v>64</v>
      </c>
      <c r="D11" s="14">
        <v>6427</v>
      </c>
      <c r="E11" s="14">
        <v>485</v>
      </c>
      <c r="F11" s="15">
        <v>1301.3</v>
      </c>
      <c r="G11" s="14">
        <v>43</v>
      </c>
      <c r="H11" s="15">
        <v>17507.009999999998</v>
      </c>
      <c r="I11" s="16">
        <v>7.5462999999999996</v>
      </c>
      <c r="J11" s="16">
        <v>8.8659999999999997</v>
      </c>
      <c r="K11" s="17">
        <v>1245.3499999999999</v>
      </c>
      <c r="L11" s="15">
        <v>30.26</v>
      </c>
    </row>
    <row r="12" spans="1:12" x14ac:dyDescent="0.3">
      <c r="A12" s="18" t="s">
        <v>77</v>
      </c>
      <c r="B12" s="5" t="s">
        <v>63</v>
      </c>
      <c r="C12" s="5" t="s">
        <v>73</v>
      </c>
      <c r="D12" s="19">
        <v>6907</v>
      </c>
      <c r="E12" s="19">
        <v>425</v>
      </c>
      <c r="F12" s="20">
        <v>1151.6600000000001</v>
      </c>
      <c r="G12" s="19">
        <v>21</v>
      </c>
      <c r="H12" s="20">
        <v>7271.71</v>
      </c>
      <c r="I12" s="21">
        <v>6.1532</v>
      </c>
      <c r="J12" s="21">
        <v>4.9412000000000003</v>
      </c>
      <c r="K12" s="22">
        <v>531.41</v>
      </c>
      <c r="L12" s="20">
        <v>54.84</v>
      </c>
    </row>
    <row r="13" spans="1:12" x14ac:dyDescent="0.3">
      <c r="A13" s="13" t="s">
        <v>78</v>
      </c>
      <c r="B13" s="9" t="s">
        <v>63</v>
      </c>
      <c r="C13" s="9" t="s">
        <v>71</v>
      </c>
      <c r="D13" s="14">
        <v>4867</v>
      </c>
      <c r="E13" s="14">
        <v>419</v>
      </c>
      <c r="F13" s="15">
        <v>666</v>
      </c>
      <c r="G13" s="14">
        <v>33</v>
      </c>
      <c r="H13" s="15">
        <v>13995.42</v>
      </c>
      <c r="I13" s="16">
        <v>8.609</v>
      </c>
      <c r="J13" s="16">
        <v>7.8758999999999997</v>
      </c>
      <c r="K13" s="17">
        <v>2001.41</v>
      </c>
      <c r="L13" s="15">
        <v>20.18</v>
      </c>
    </row>
    <row r="14" spans="1:12" x14ac:dyDescent="0.3">
      <c r="A14" s="18" t="s">
        <v>79</v>
      </c>
      <c r="B14" s="5" t="s">
        <v>63</v>
      </c>
      <c r="C14" s="5" t="s">
        <v>71</v>
      </c>
      <c r="D14" s="19">
        <v>0</v>
      </c>
      <c r="E14" s="19">
        <v>304</v>
      </c>
      <c r="F14" s="20">
        <v>628.74</v>
      </c>
      <c r="G14" s="19">
        <v>12</v>
      </c>
      <c r="H14" s="20">
        <v>2672.83</v>
      </c>
      <c r="I14" s="21">
        <v>0</v>
      </c>
      <c r="J14" s="21">
        <v>3.9474</v>
      </c>
      <c r="K14" s="22">
        <v>325.11</v>
      </c>
      <c r="L14" s="20">
        <v>52.4</v>
      </c>
    </row>
    <row r="15" spans="1:12" x14ac:dyDescent="0.3">
      <c r="A15" s="13" t="s">
        <v>80</v>
      </c>
      <c r="B15" s="9" t="s">
        <v>63</v>
      </c>
      <c r="C15" s="9" t="s">
        <v>71</v>
      </c>
      <c r="D15" s="14">
        <v>0</v>
      </c>
      <c r="E15" s="14">
        <v>197</v>
      </c>
      <c r="F15" s="15">
        <v>338.34</v>
      </c>
      <c r="G15" s="14">
        <v>13</v>
      </c>
      <c r="H15" s="15">
        <v>2800.03</v>
      </c>
      <c r="I15" s="16">
        <v>0</v>
      </c>
      <c r="J15" s="16">
        <v>6.5990000000000002</v>
      </c>
      <c r="K15" s="17">
        <v>727.58</v>
      </c>
      <c r="L15" s="15">
        <v>26.03</v>
      </c>
    </row>
    <row r="16" spans="1:12" x14ac:dyDescent="0.3">
      <c r="A16" s="18" t="s">
        <v>81</v>
      </c>
      <c r="B16" s="5" t="s">
        <v>63</v>
      </c>
      <c r="C16" s="5" t="s">
        <v>73</v>
      </c>
      <c r="D16" s="19">
        <v>7131</v>
      </c>
      <c r="E16" s="19">
        <v>303</v>
      </c>
      <c r="F16" s="20">
        <v>1256.75</v>
      </c>
      <c r="G16" s="19">
        <v>16</v>
      </c>
      <c r="H16" s="20">
        <v>7588.44</v>
      </c>
      <c r="I16" s="21">
        <v>4.2491000000000003</v>
      </c>
      <c r="J16" s="21">
        <v>5.2805</v>
      </c>
      <c r="K16" s="22">
        <v>503.81</v>
      </c>
      <c r="L16" s="20">
        <v>78.55</v>
      </c>
    </row>
    <row r="17" spans="1:12" x14ac:dyDescent="0.3">
      <c r="A17" s="13" t="s">
        <v>82</v>
      </c>
      <c r="B17" s="9" t="s">
        <v>63</v>
      </c>
      <c r="C17" s="9" t="s">
        <v>83</v>
      </c>
      <c r="D17" s="14">
        <v>0</v>
      </c>
      <c r="E17" s="14">
        <v>122</v>
      </c>
      <c r="F17" s="15">
        <v>260.39</v>
      </c>
      <c r="G17" s="14">
        <v>7</v>
      </c>
      <c r="H17" s="15">
        <v>1441.5</v>
      </c>
      <c r="I17" s="16">
        <v>0</v>
      </c>
      <c r="J17" s="16">
        <v>5.7377000000000002</v>
      </c>
      <c r="K17" s="17">
        <v>453.59</v>
      </c>
      <c r="L17" s="15">
        <v>37.200000000000003</v>
      </c>
    </row>
    <row r="18" spans="1:12" x14ac:dyDescent="0.3">
      <c r="A18" s="18" t="s">
        <v>84</v>
      </c>
      <c r="B18" s="5" t="s">
        <v>63</v>
      </c>
      <c r="C18" s="5" t="s">
        <v>83</v>
      </c>
      <c r="D18" s="19">
        <v>6594</v>
      </c>
      <c r="E18" s="19">
        <v>227</v>
      </c>
      <c r="F18" s="20">
        <v>584.58000000000004</v>
      </c>
      <c r="G18" s="19">
        <v>8</v>
      </c>
      <c r="H18" s="20">
        <v>1716.01</v>
      </c>
      <c r="I18" s="21">
        <v>3.4424999999999999</v>
      </c>
      <c r="J18" s="21">
        <v>3.5242</v>
      </c>
      <c r="K18" s="22">
        <v>193.55</v>
      </c>
      <c r="L18" s="20">
        <v>73.069999999999993</v>
      </c>
    </row>
    <row r="19" spans="1:12" x14ac:dyDescent="0.3">
      <c r="A19" s="13" t="s">
        <v>85</v>
      </c>
      <c r="B19" s="9" t="s">
        <v>63</v>
      </c>
      <c r="C19" s="9" t="s">
        <v>86</v>
      </c>
      <c r="D19" s="14">
        <v>815</v>
      </c>
      <c r="E19" s="14">
        <v>27</v>
      </c>
      <c r="F19" s="15">
        <v>0</v>
      </c>
      <c r="G19" s="14">
        <v>0</v>
      </c>
      <c r="H19" s="15">
        <v>0</v>
      </c>
      <c r="I19" s="16">
        <v>3.3129</v>
      </c>
      <c r="J19" s="16">
        <v>0</v>
      </c>
      <c r="K19" s="17">
        <v>0</v>
      </c>
      <c r="L19" s="15">
        <v>0</v>
      </c>
    </row>
    <row r="20" spans="1:12" x14ac:dyDescent="0.3">
      <c r="A20" s="18" t="s">
        <v>87</v>
      </c>
      <c r="B20" s="5" t="s">
        <v>63</v>
      </c>
      <c r="C20" s="5" t="s">
        <v>88</v>
      </c>
      <c r="D20" s="19">
        <v>3269</v>
      </c>
      <c r="E20" s="19">
        <v>116</v>
      </c>
      <c r="F20" s="20">
        <v>474.09</v>
      </c>
      <c r="G20" s="19">
        <v>10</v>
      </c>
      <c r="H20" s="20">
        <v>2443.86</v>
      </c>
      <c r="I20" s="21">
        <v>3.5485000000000002</v>
      </c>
      <c r="J20" s="21">
        <v>8.6206999999999994</v>
      </c>
      <c r="K20" s="22">
        <v>415.48</v>
      </c>
      <c r="L20" s="20">
        <v>47.41</v>
      </c>
    </row>
    <row r="21" spans="1:12" x14ac:dyDescent="0.3">
      <c r="A21" s="13" t="s">
        <v>89</v>
      </c>
      <c r="B21" s="9" t="s">
        <v>63</v>
      </c>
      <c r="C21" s="9" t="s">
        <v>64</v>
      </c>
      <c r="D21" s="14">
        <v>1582</v>
      </c>
      <c r="E21" s="14">
        <v>137</v>
      </c>
      <c r="F21" s="15">
        <v>526.73</v>
      </c>
      <c r="G21" s="14">
        <v>11</v>
      </c>
      <c r="H21" s="15">
        <v>2064.35</v>
      </c>
      <c r="I21" s="16">
        <v>8.6599000000000004</v>
      </c>
      <c r="J21" s="16">
        <v>8.0291999999999994</v>
      </c>
      <c r="K21" s="17">
        <v>291.92</v>
      </c>
      <c r="L21" s="15">
        <v>47.88</v>
      </c>
    </row>
    <row r="22" spans="1:12" x14ac:dyDescent="0.3">
      <c r="A22" s="18" t="s">
        <v>90</v>
      </c>
      <c r="B22" s="5" t="s">
        <v>63</v>
      </c>
      <c r="C22" s="5" t="s">
        <v>91</v>
      </c>
      <c r="D22" s="19">
        <v>1102</v>
      </c>
      <c r="E22" s="19">
        <v>43</v>
      </c>
      <c r="F22" s="20">
        <v>97.76</v>
      </c>
      <c r="G22" s="19">
        <v>1</v>
      </c>
      <c r="H22" s="20">
        <v>479.75</v>
      </c>
      <c r="I22" s="21">
        <v>3.9020000000000001</v>
      </c>
      <c r="J22" s="21">
        <v>2.3256000000000001</v>
      </c>
      <c r="K22" s="22">
        <v>390.74</v>
      </c>
      <c r="L22" s="20">
        <v>97.76</v>
      </c>
    </row>
    <row r="23" spans="1:12" x14ac:dyDescent="0.3">
      <c r="A23" s="13" t="s">
        <v>92</v>
      </c>
      <c r="B23" s="9" t="s">
        <v>63</v>
      </c>
      <c r="C23" s="9" t="s">
        <v>91</v>
      </c>
      <c r="D23" s="14">
        <v>1011</v>
      </c>
      <c r="E23" s="14">
        <v>31</v>
      </c>
      <c r="F23" s="15">
        <v>108.95</v>
      </c>
      <c r="G23" s="14">
        <v>2</v>
      </c>
      <c r="H23" s="15">
        <v>540.24</v>
      </c>
      <c r="I23" s="16">
        <v>3.0663</v>
      </c>
      <c r="J23" s="16">
        <v>6.4516</v>
      </c>
      <c r="K23" s="17">
        <v>395.86</v>
      </c>
      <c r="L23" s="15">
        <v>54.48</v>
      </c>
    </row>
    <row r="24" spans="1:12" x14ac:dyDescent="0.3">
      <c r="A24" s="18" t="s">
        <v>93</v>
      </c>
      <c r="B24" s="5" t="s">
        <v>63</v>
      </c>
      <c r="C24" s="5" t="s">
        <v>86</v>
      </c>
      <c r="D24" s="19">
        <v>1760</v>
      </c>
      <c r="E24" s="19">
        <v>97</v>
      </c>
      <c r="F24" s="20">
        <v>0</v>
      </c>
      <c r="G24" s="19">
        <v>8</v>
      </c>
      <c r="H24" s="20">
        <v>0</v>
      </c>
      <c r="I24" s="21">
        <v>5.5114000000000001</v>
      </c>
      <c r="J24" s="21">
        <v>8.2474000000000007</v>
      </c>
      <c r="K24" s="22">
        <v>0</v>
      </c>
      <c r="L24" s="20">
        <v>0</v>
      </c>
    </row>
    <row r="25" spans="1:12" x14ac:dyDescent="0.3">
      <c r="A25" s="13" t="s">
        <v>94</v>
      </c>
      <c r="B25" s="9" t="s">
        <v>63</v>
      </c>
      <c r="C25" s="9" t="s">
        <v>69</v>
      </c>
      <c r="D25" s="14">
        <v>759</v>
      </c>
      <c r="E25" s="14">
        <v>49</v>
      </c>
      <c r="F25" s="15">
        <v>161.41</v>
      </c>
      <c r="G25" s="14">
        <v>3</v>
      </c>
      <c r="H25" s="15">
        <v>562.4</v>
      </c>
      <c r="I25" s="16">
        <v>6.4558999999999997</v>
      </c>
      <c r="J25" s="16">
        <v>6.1223999999999998</v>
      </c>
      <c r="K25" s="17">
        <v>248.43</v>
      </c>
      <c r="L25" s="15">
        <v>53.8</v>
      </c>
    </row>
    <row r="26" spans="1:12" x14ac:dyDescent="0.3">
      <c r="A26" s="18" t="s">
        <v>95</v>
      </c>
      <c r="B26" s="5" t="s">
        <v>63</v>
      </c>
      <c r="C26" s="5" t="s">
        <v>86</v>
      </c>
      <c r="D26" s="19">
        <v>5207</v>
      </c>
      <c r="E26" s="19">
        <v>362</v>
      </c>
      <c r="F26" s="20">
        <v>1211.4100000000001</v>
      </c>
      <c r="G26" s="19">
        <v>35</v>
      </c>
      <c r="H26" s="20">
        <v>0</v>
      </c>
      <c r="I26" s="21">
        <v>6.9522000000000004</v>
      </c>
      <c r="J26" s="21">
        <v>9.6684999999999999</v>
      </c>
      <c r="K26" s="22">
        <v>-100</v>
      </c>
      <c r="L26" s="20">
        <v>34.61</v>
      </c>
    </row>
    <row r="27" spans="1:12" x14ac:dyDescent="0.3">
      <c r="A27" s="13" t="s">
        <v>94</v>
      </c>
      <c r="B27" s="9" t="s">
        <v>63</v>
      </c>
      <c r="C27" s="9" t="s">
        <v>86</v>
      </c>
      <c r="D27" s="14">
        <v>7792</v>
      </c>
      <c r="E27" s="14">
        <v>453</v>
      </c>
      <c r="F27" s="15">
        <v>1902.3</v>
      </c>
      <c r="G27" s="14">
        <v>17</v>
      </c>
      <c r="H27" s="15">
        <v>5098.8599999999997</v>
      </c>
      <c r="I27" s="16">
        <v>5.8136999999999999</v>
      </c>
      <c r="J27" s="16">
        <v>3.7528000000000001</v>
      </c>
      <c r="K27" s="17">
        <v>168.04</v>
      </c>
      <c r="L27" s="15">
        <v>111.9</v>
      </c>
    </row>
    <row r="28" spans="1:12" x14ac:dyDescent="0.3">
      <c r="A28" s="18" t="s">
        <v>96</v>
      </c>
      <c r="B28" s="5" t="s">
        <v>63</v>
      </c>
      <c r="C28" s="5" t="s">
        <v>88</v>
      </c>
      <c r="D28" s="19">
        <v>3518</v>
      </c>
      <c r="E28" s="19">
        <v>209</v>
      </c>
      <c r="F28" s="20">
        <v>332.56</v>
      </c>
      <c r="G28" s="19">
        <v>11</v>
      </c>
      <c r="H28" s="20">
        <v>2476.62</v>
      </c>
      <c r="I28" s="21">
        <v>5.9409000000000001</v>
      </c>
      <c r="J28" s="21">
        <v>5.2632000000000003</v>
      </c>
      <c r="K28" s="22">
        <v>644.71</v>
      </c>
      <c r="L28" s="20">
        <v>30.23</v>
      </c>
    </row>
    <row r="29" spans="1:12" x14ac:dyDescent="0.3">
      <c r="A29" s="13" t="s">
        <v>97</v>
      </c>
      <c r="B29" s="9" t="s">
        <v>63</v>
      </c>
      <c r="C29" s="9"/>
      <c r="D29" s="14">
        <v>5090</v>
      </c>
      <c r="E29" s="14">
        <v>386</v>
      </c>
      <c r="F29" s="15">
        <v>683.51</v>
      </c>
      <c r="G29" s="14">
        <v>22</v>
      </c>
      <c r="H29" s="15">
        <v>9839.85</v>
      </c>
      <c r="I29" s="16">
        <v>7.5834999999999999</v>
      </c>
      <c r="J29" s="16">
        <v>5.6994999999999996</v>
      </c>
      <c r="K29" s="17">
        <v>1339.61</v>
      </c>
      <c r="L29" s="15">
        <v>31.07</v>
      </c>
    </row>
    <row r="30" spans="1:12" x14ac:dyDescent="0.3">
      <c r="A30" s="18" t="s">
        <v>98</v>
      </c>
      <c r="B30" s="5" t="s">
        <v>63</v>
      </c>
      <c r="C30" s="5" t="s">
        <v>73</v>
      </c>
      <c r="D30" s="19">
        <v>2927</v>
      </c>
      <c r="E30" s="19">
        <v>139</v>
      </c>
      <c r="F30" s="20">
        <v>163.98</v>
      </c>
      <c r="G30" s="19">
        <v>4</v>
      </c>
      <c r="H30" s="20">
        <v>1476.93</v>
      </c>
      <c r="I30" s="21">
        <v>4.7488999999999999</v>
      </c>
      <c r="J30" s="21">
        <v>2.8776999999999999</v>
      </c>
      <c r="K30" s="22">
        <v>800.68</v>
      </c>
      <c r="L30" s="20">
        <v>41</v>
      </c>
    </row>
    <row r="31" spans="1:12" x14ac:dyDescent="0.3">
      <c r="A31" s="13" t="s">
        <v>99</v>
      </c>
      <c r="B31" s="9" t="s">
        <v>63</v>
      </c>
      <c r="C31" s="9" t="s">
        <v>86</v>
      </c>
      <c r="D31" s="14">
        <v>6244</v>
      </c>
      <c r="E31" s="14">
        <v>210</v>
      </c>
      <c r="F31" s="15">
        <v>548.20000000000005</v>
      </c>
      <c r="G31" s="14">
        <v>20</v>
      </c>
      <c r="H31" s="15">
        <v>3916.27</v>
      </c>
      <c r="I31" s="16">
        <v>3.3632</v>
      </c>
      <c r="J31" s="16">
        <v>9.5237999999999996</v>
      </c>
      <c r="K31" s="17">
        <v>614.39</v>
      </c>
      <c r="L31" s="15">
        <v>27.41</v>
      </c>
    </row>
    <row r="32" spans="1:12" x14ac:dyDescent="0.3">
      <c r="A32" s="18" t="s">
        <v>100</v>
      </c>
      <c r="B32" s="5" t="s">
        <v>63</v>
      </c>
      <c r="C32" s="5" t="s">
        <v>86</v>
      </c>
      <c r="D32" s="19">
        <v>4123</v>
      </c>
      <c r="E32" s="19">
        <v>270</v>
      </c>
      <c r="F32" s="20">
        <v>724.47</v>
      </c>
      <c r="G32" s="19">
        <v>13</v>
      </c>
      <c r="H32" s="20">
        <v>3649</v>
      </c>
      <c r="I32" s="21">
        <v>6.5486000000000004</v>
      </c>
      <c r="J32" s="21">
        <v>4.8148</v>
      </c>
      <c r="K32" s="22">
        <v>403.68</v>
      </c>
      <c r="L32" s="20">
        <v>55.73</v>
      </c>
    </row>
    <row r="33" spans="1:12" x14ac:dyDescent="0.3">
      <c r="A33" s="13" t="s">
        <v>101</v>
      </c>
      <c r="B33" s="9" t="s">
        <v>63</v>
      </c>
      <c r="C33" s="9" t="s">
        <v>71</v>
      </c>
      <c r="D33" s="14">
        <v>720</v>
      </c>
      <c r="E33" s="14">
        <v>25</v>
      </c>
      <c r="F33" s="15">
        <v>47.16</v>
      </c>
      <c r="G33" s="14">
        <v>1</v>
      </c>
      <c r="H33" s="15">
        <v>349.64</v>
      </c>
      <c r="I33" s="16">
        <v>3.4722</v>
      </c>
      <c r="J33" s="16">
        <v>4</v>
      </c>
      <c r="K33" s="17">
        <v>641.39</v>
      </c>
      <c r="L33" s="15">
        <v>47.16</v>
      </c>
    </row>
    <row r="34" spans="1:12" x14ac:dyDescent="0.3">
      <c r="A34" s="18" t="s">
        <v>102</v>
      </c>
      <c r="B34" s="5" t="s">
        <v>63</v>
      </c>
      <c r="C34" s="5" t="s">
        <v>91</v>
      </c>
      <c r="D34" s="19">
        <v>842</v>
      </c>
      <c r="E34" s="19">
        <v>64</v>
      </c>
      <c r="F34" s="20">
        <v>113.4</v>
      </c>
      <c r="G34" s="19">
        <v>4</v>
      </c>
      <c r="H34" s="20">
        <v>493.38</v>
      </c>
      <c r="I34" s="21">
        <v>7.601</v>
      </c>
      <c r="J34" s="21">
        <v>6.25</v>
      </c>
      <c r="K34" s="22">
        <v>335.08</v>
      </c>
      <c r="L34" s="20">
        <v>28.35</v>
      </c>
    </row>
    <row r="35" spans="1:12" x14ac:dyDescent="0.3">
      <c r="A35" s="13" t="s">
        <v>103</v>
      </c>
      <c r="B35" s="9" t="s">
        <v>63</v>
      </c>
      <c r="C35" s="9" t="s">
        <v>71</v>
      </c>
      <c r="D35" s="14">
        <v>4835</v>
      </c>
      <c r="E35" s="14">
        <v>289</v>
      </c>
      <c r="F35" s="15">
        <v>938.69</v>
      </c>
      <c r="G35" s="14">
        <v>18</v>
      </c>
      <c r="H35" s="15">
        <v>3561.05</v>
      </c>
      <c r="I35" s="16">
        <v>5.9771999999999998</v>
      </c>
      <c r="J35" s="16">
        <v>6.2283999999999997</v>
      </c>
      <c r="K35" s="17">
        <v>279.36</v>
      </c>
      <c r="L35" s="15">
        <v>52.15</v>
      </c>
    </row>
    <row r="36" spans="1:12" x14ac:dyDescent="0.3">
      <c r="A36" s="18" t="s">
        <v>104</v>
      </c>
      <c r="B36" s="5" t="s">
        <v>63</v>
      </c>
      <c r="C36" s="5" t="s">
        <v>83</v>
      </c>
      <c r="D36" s="19">
        <v>4850</v>
      </c>
      <c r="E36" s="19">
        <v>165</v>
      </c>
      <c r="F36" s="20">
        <v>675524.28629137401</v>
      </c>
      <c r="G36" s="19">
        <v>13</v>
      </c>
      <c r="H36" s="20">
        <v>3027.15</v>
      </c>
      <c r="I36" s="21">
        <v>3.4020999999999999</v>
      </c>
      <c r="J36" s="21">
        <v>7.8788</v>
      </c>
      <c r="K36" s="22">
        <v>-99.55</v>
      </c>
      <c r="L36" s="20">
        <v>51963.41</v>
      </c>
    </row>
    <row r="37" spans="1:12" x14ac:dyDescent="0.3">
      <c r="A37" s="13" t="s">
        <v>105</v>
      </c>
      <c r="B37" s="9" t="s">
        <v>63</v>
      </c>
      <c r="C37" s="9" t="s">
        <v>86</v>
      </c>
      <c r="D37" s="14">
        <v>1473</v>
      </c>
      <c r="E37" s="14">
        <v>81</v>
      </c>
      <c r="F37" s="15">
        <v>353.36</v>
      </c>
      <c r="G37" s="14">
        <v>4</v>
      </c>
      <c r="H37" s="15">
        <v>1250.02</v>
      </c>
      <c r="I37" s="16">
        <v>5.4989999999999997</v>
      </c>
      <c r="J37" s="16">
        <v>4.9382999999999999</v>
      </c>
      <c r="K37" s="17">
        <v>253.75</v>
      </c>
      <c r="L37" s="15">
        <v>88.34</v>
      </c>
    </row>
    <row r="38" spans="1:12" x14ac:dyDescent="0.3">
      <c r="A38" s="18" t="s">
        <v>106</v>
      </c>
      <c r="B38" s="5" t="s">
        <v>63</v>
      </c>
      <c r="C38" s="5" t="s">
        <v>91</v>
      </c>
      <c r="D38" s="19">
        <v>618</v>
      </c>
      <c r="E38" s="19">
        <v>34</v>
      </c>
      <c r="F38" s="20">
        <v>71.510000000000005</v>
      </c>
      <c r="G38" s="19">
        <v>0</v>
      </c>
      <c r="H38" s="20">
        <v>379.52</v>
      </c>
      <c r="I38" s="21">
        <v>5.5015999999999998</v>
      </c>
      <c r="J38" s="21">
        <v>0</v>
      </c>
      <c r="K38" s="22">
        <v>430.72</v>
      </c>
      <c r="L38" s="20">
        <v>0</v>
      </c>
    </row>
    <row r="39" spans="1:12" x14ac:dyDescent="0.3">
      <c r="A39" s="13" t="s">
        <v>107</v>
      </c>
      <c r="B39" s="9" t="s">
        <v>63</v>
      </c>
      <c r="C39" s="9" t="s">
        <v>86</v>
      </c>
      <c r="D39" s="14">
        <v>0</v>
      </c>
      <c r="E39" s="14">
        <v>57</v>
      </c>
      <c r="F39" s="15">
        <v>251.47</v>
      </c>
      <c r="G39" s="14">
        <v>4</v>
      </c>
      <c r="H39" s="15">
        <v>887.64</v>
      </c>
      <c r="I39" s="16">
        <v>0</v>
      </c>
      <c r="J39" s="16">
        <v>7.0175000000000001</v>
      </c>
      <c r="K39" s="17">
        <v>252.98</v>
      </c>
      <c r="L39" s="15">
        <v>62.87</v>
      </c>
    </row>
    <row r="40" spans="1:12" x14ac:dyDescent="0.3">
      <c r="A40" s="18" t="s">
        <v>108</v>
      </c>
      <c r="B40" s="5" t="s">
        <v>63</v>
      </c>
      <c r="C40" s="5" t="s">
        <v>67</v>
      </c>
      <c r="D40" s="19">
        <v>6863</v>
      </c>
      <c r="E40" s="19">
        <v>217</v>
      </c>
      <c r="F40" s="20">
        <v>668.71</v>
      </c>
      <c r="G40" s="19">
        <v>12</v>
      </c>
      <c r="H40" s="20">
        <v>5160.1499999999996</v>
      </c>
      <c r="I40" s="21">
        <v>3.1619000000000002</v>
      </c>
      <c r="J40" s="21">
        <v>5.53</v>
      </c>
      <c r="K40" s="22">
        <v>671.66</v>
      </c>
      <c r="L40" s="20">
        <v>55.73</v>
      </c>
    </row>
    <row r="41" spans="1:12" x14ac:dyDescent="0.3">
      <c r="A41" s="13" t="s">
        <v>68</v>
      </c>
      <c r="B41" s="9" t="s">
        <v>63</v>
      </c>
      <c r="C41" s="9" t="s">
        <v>91</v>
      </c>
      <c r="D41" s="14">
        <v>2008</v>
      </c>
      <c r="E41" s="14">
        <v>98</v>
      </c>
      <c r="F41" s="15">
        <v>108.82</v>
      </c>
      <c r="G41" s="14">
        <v>7</v>
      </c>
      <c r="H41" s="15">
        <v>2509.52</v>
      </c>
      <c r="I41" s="16">
        <v>4.8804999999999996</v>
      </c>
      <c r="J41" s="16">
        <v>7.1429</v>
      </c>
      <c r="K41" s="17">
        <v>2206.12</v>
      </c>
      <c r="L41" s="15">
        <v>15.55</v>
      </c>
    </row>
    <row r="42" spans="1:12" x14ac:dyDescent="0.3">
      <c r="A42" s="18" t="s">
        <v>109</v>
      </c>
      <c r="B42" s="5" t="s">
        <v>63</v>
      </c>
      <c r="C42" s="5" t="s">
        <v>91</v>
      </c>
      <c r="D42" s="19">
        <v>6154.4990328705098</v>
      </c>
      <c r="E42" s="19">
        <v>436.335439859855</v>
      </c>
      <c r="F42" s="20">
        <v>1802.3101975780501</v>
      </c>
      <c r="G42" s="19">
        <v>-39.661477055828101</v>
      </c>
      <c r="H42" s="20">
        <v>5963.4166712103097</v>
      </c>
      <c r="I42" s="21">
        <v>7.0896999999999997</v>
      </c>
      <c r="J42" s="21">
        <v>-9.0897000000000006</v>
      </c>
      <c r="K42" s="22">
        <v>230.88</v>
      </c>
      <c r="L42" s="20">
        <v>0</v>
      </c>
    </row>
    <row r="43" spans="1:12" x14ac:dyDescent="0.3">
      <c r="A43" s="13" t="s">
        <v>110</v>
      </c>
      <c r="B43" s="9" t="s">
        <v>63</v>
      </c>
      <c r="C43" s="9" t="s">
        <v>83</v>
      </c>
      <c r="D43" s="14">
        <v>2364</v>
      </c>
      <c r="E43" s="14">
        <v>118</v>
      </c>
      <c r="F43" s="15">
        <v>390.83</v>
      </c>
      <c r="G43" s="14">
        <v>8</v>
      </c>
      <c r="H43" s="15">
        <v>3577.4</v>
      </c>
      <c r="I43" s="16">
        <v>4.9915000000000003</v>
      </c>
      <c r="J43" s="16">
        <v>6.7797000000000001</v>
      </c>
      <c r="K43" s="17">
        <v>815.33</v>
      </c>
      <c r="L43" s="15">
        <v>48.85</v>
      </c>
    </row>
    <row r="44" spans="1:12" x14ac:dyDescent="0.3">
      <c r="A44" s="18" t="s">
        <v>111</v>
      </c>
      <c r="B44" s="5" t="s">
        <v>63</v>
      </c>
      <c r="C44" s="5" t="s">
        <v>64</v>
      </c>
      <c r="D44" s="19">
        <v>5325</v>
      </c>
      <c r="E44" s="19">
        <v>418</v>
      </c>
      <c r="F44" s="20">
        <v>436.52</v>
      </c>
      <c r="G44" s="19">
        <v>20</v>
      </c>
      <c r="H44" s="20">
        <v>3061.83</v>
      </c>
      <c r="I44" s="21">
        <v>7.8498000000000001</v>
      </c>
      <c r="J44" s="21">
        <v>4.7847</v>
      </c>
      <c r="K44" s="22">
        <v>601.41999999999996</v>
      </c>
      <c r="L44" s="20">
        <v>21.83</v>
      </c>
    </row>
    <row r="45" spans="1:12" x14ac:dyDescent="0.3">
      <c r="A45" s="13" t="s">
        <v>112</v>
      </c>
      <c r="B45" s="9" t="s">
        <v>63</v>
      </c>
      <c r="C45" s="9" t="s">
        <v>73</v>
      </c>
      <c r="D45" s="14">
        <v>0</v>
      </c>
      <c r="E45" s="14">
        <v>391</v>
      </c>
      <c r="F45" s="15">
        <v>433.77</v>
      </c>
      <c r="G45" s="14">
        <v>32</v>
      </c>
      <c r="H45" s="15">
        <v>14511.65</v>
      </c>
      <c r="I45" s="16">
        <v>0</v>
      </c>
      <c r="J45" s="16">
        <v>8.1841000000000008</v>
      </c>
      <c r="K45" s="17">
        <v>3245.47</v>
      </c>
      <c r="L45" s="15">
        <v>13.56</v>
      </c>
    </row>
    <row r="46" spans="1:12" x14ac:dyDescent="0.3">
      <c r="A46" s="18" t="s">
        <v>113</v>
      </c>
      <c r="B46" s="5" t="s">
        <v>63</v>
      </c>
      <c r="C46" s="5" t="s">
        <v>86</v>
      </c>
      <c r="D46" s="19">
        <v>4818</v>
      </c>
      <c r="E46" s="19">
        <v>280</v>
      </c>
      <c r="F46" s="20">
        <v>981.66</v>
      </c>
      <c r="G46" s="19">
        <v>15</v>
      </c>
      <c r="H46" s="20">
        <v>5045.71</v>
      </c>
      <c r="I46" s="21">
        <v>5.8114999999999997</v>
      </c>
      <c r="J46" s="21">
        <v>5.3571</v>
      </c>
      <c r="K46" s="22">
        <v>414</v>
      </c>
      <c r="L46" s="20">
        <v>65.44</v>
      </c>
    </row>
    <row r="47" spans="1:12" x14ac:dyDescent="0.3">
      <c r="A47" s="13" t="s">
        <v>114</v>
      </c>
      <c r="B47" s="9" t="s">
        <v>63</v>
      </c>
      <c r="C47" s="9" t="s">
        <v>115</v>
      </c>
      <c r="D47" s="14">
        <v>2419.9289623684299</v>
      </c>
      <c r="E47" s="14">
        <v>191.289932325976</v>
      </c>
      <c r="F47" s="15">
        <v>196.45335043342601</v>
      </c>
      <c r="G47" s="14">
        <v>13.800739997363699</v>
      </c>
      <c r="H47" s="15">
        <v>5005.9124356850998</v>
      </c>
      <c r="I47" s="16">
        <v>7.9047999999999998</v>
      </c>
      <c r="J47" s="16">
        <v>7.2145999999999999</v>
      </c>
      <c r="K47" s="17">
        <v>2448.14</v>
      </c>
      <c r="L47" s="15">
        <v>14.23</v>
      </c>
    </row>
    <row r="48" spans="1:12" x14ac:dyDescent="0.3">
      <c r="A48" s="18" t="s">
        <v>108</v>
      </c>
      <c r="B48" s="5" t="s">
        <v>63</v>
      </c>
      <c r="C48" s="5" t="s">
        <v>73</v>
      </c>
      <c r="D48" s="19">
        <v>0</v>
      </c>
      <c r="E48" s="19">
        <v>134</v>
      </c>
      <c r="F48" s="20">
        <v>492.17</v>
      </c>
      <c r="G48" s="19">
        <v>5</v>
      </c>
      <c r="H48" s="20">
        <v>978</v>
      </c>
      <c r="I48" s="21">
        <v>0</v>
      </c>
      <c r="J48" s="21">
        <v>3.7313000000000001</v>
      </c>
      <c r="K48" s="22">
        <v>98.71</v>
      </c>
      <c r="L48" s="20">
        <v>98.43</v>
      </c>
    </row>
    <row r="49" spans="1:12" x14ac:dyDescent="0.3">
      <c r="A49" s="13" t="s">
        <v>116</v>
      </c>
      <c r="B49" s="9" t="s">
        <v>63</v>
      </c>
      <c r="C49" s="9" t="s">
        <v>86</v>
      </c>
      <c r="D49" s="14">
        <v>2517</v>
      </c>
      <c r="E49" s="14">
        <v>132</v>
      </c>
      <c r="F49" s="15">
        <v>249.9</v>
      </c>
      <c r="G49" s="14">
        <v>10</v>
      </c>
      <c r="H49" s="15">
        <v>1668.59</v>
      </c>
      <c r="I49" s="16">
        <v>5.2443</v>
      </c>
      <c r="J49" s="16">
        <v>7.5758000000000001</v>
      </c>
      <c r="K49" s="17">
        <v>567.70000000000005</v>
      </c>
      <c r="L49" s="15">
        <v>24.99</v>
      </c>
    </row>
    <row r="50" spans="1:12" ht="22.8" x14ac:dyDescent="0.3">
      <c r="A50" s="18" t="s">
        <v>117</v>
      </c>
      <c r="B50" s="5" t="s">
        <v>63</v>
      </c>
      <c r="C50" s="5" t="s">
        <v>91</v>
      </c>
      <c r="D50" s="19">
        <v>5452</v>
      </c>
      <c r="E50" s="19">
        <v>169</v>
      </c>
      <c r="F50" s="20">
        <v>509.2</v>
      </c>
      <c r="G50" s="19">
        <v>5</v>
      </c>
      <c r="H50" s="20">
        <v>1831.4</v>
      </c>
      <c r="I50" s="21">
        <v>3.0998000000000001</v>
      </c>
      <c r="J50" s="21">
        <v>2.9586000000000001</v>
      </c>
      <c r="K50" s="22">
        <v>259.66000000000003</v>
      </c>
      <c r="L50" s="20">
        <v>101.84</v>
      </c>
    </row>
    <row r="51" spans="1:12" x14ac:dyDescent="0.3">
      <c r="A51" s="13" t="s">
        <v>118</v>
      </c>
      <c r="B51" s="9" t="s">
        <v>63</v>
      </c>
      <c r="C51" s="9" t="s">
        <v>73</v>
      </c>
      <c r="D51" s="14">
        <v>6482</v>
      </c>
      <c r="E51" s="14">
        <v>270</v>
      </c>
      <c r="F51" s="15">
        <v>233.87</v>
      </c>
      <c r="G51" s="14">
        <v>12</v>
      </c>
      <c r="H51" s="15">
        <v>0</v>
      </c>
      <c r="I51" s="16">
        <v>4.1654</v>
      </c>
      <c r="J51" s="16">
        <v>4.4443999999999999</v>
      </c>
      <c r="K51" s="17">
        <v>-100</v>
      </c>
      <c r="L51" s="15">
        <v>19.489999999999998</v>
      </c>
    </row>
    <row r="52" spans="1:12" x14ac:dyDescent="0.3">
      <c r="A52" s="18" t="s">
        <v>119</v>
      </c>
      <c r="B52" s="5" t="s">
        <v>63</v>
      </c>
      <c r="C52" s="5" t="s">
        <v>115</v>
      </c>
      <c r="D52" s="19">
        <v>2397</v>
      </c>
      <c r="E52" s="19">
        <v>160</v>
      </c>
      <c r="F52" s="20">
        <v>564.32000000000005</v>
      </c>
      <c r="G52" s="19">
        <v>5</v>
      </c>
      <c r="H52" s="20">
        <v>1456.53</v>
      </c>
      <c r="I52" s="21">
        <v>6.6749999999999998</v>
      </c>
      <c r="J52" s="21">
        <v>3.125</v>
      </c>
      <c r="K52" s="22">
        <v>158.1</v>
      </c>
      <c r="L52" s="20">
        <v>112.86</v>
      </c>
    </row>
    <row r="53" spans="1:12" x14ac:dyDescent="0.3">
      <c r="A53" s="13" t="s">
        <v>120</v>
      </c>
      <c r="B53" s="9" t="s">
        <v>63</v>
      </c>
      <c r="C53" s="9" t="s">
        <v>64</v>
      </c>
      <c r="D53" s="14">
        <v>5233</v>
      </c>
      <c r="E53" s="14">
        <v>380</v>
      </c>
      <c r="F53" s="15">
        <v>703.4</v>
      </c>
      <c r="G53" s="14">
        <v>22</v>
      </c>
      <c r="H53" s="15">
        <v>3783.45</v>
      </c>
      <c r="I53" s="16">
        <v>7.2615999999999996</v>
      </c>
      <c r="J53" s="16">
        <v>5.7895000000000003</v>
      </c>
      <c r="K53" s="17">
        <v>437.88</v>
      </c>
      <c r="L53" s="15">
        <v>31.97</v>
      </c>
    </row>
    <row r="54" spans="1:12" x14ac:dyDescent="0.3">
      <c r="A54" s="18" t="s">
        <v>113</v>
      </c>
      <c r="B54" s="5" t="s">
        <v>63</v>
      </c>
      <c r="C54" s="5" t="s">
        <v>67</v>
      </c>
      <c r="D54" s="19">
        <v>0</v>
      </c>
      <c r="E54" s="19">
        <v>217</v>
      </c>
      <c r="F54" s="20">
        <v>726.09</v>
      </c>
      <c r="G54" s="19">
        <v>0</v>
      </c>
      <c r="H54" s="20">
        <v>3704.45</v>
      </c>
      <c r="I54" s="21">
        <v>0</v>
      </c>
      <c r="J54" s="21">
        <v>0</v>
      </c>
      <c r="K54" s="22">
        <v>410.19</v>
      </c>
      <c r="L54" s="20">
        <v>0</v>
      </c>
    </row>
    <row r="55" spans="1:12" x14ac:dyDescent="0.3">
      <c r="A55" s="13" t="s">
        <v>121</v>
      </c>
      <c r="B55" s="9" t="s">
        <v>63</v>
      </c>
      <c r="C55" s="9" t="s">
        <v>83</v>
      </c>
      <c r="D55" s="14">
        <v>2820</v>
      </c>
      <c r="E55" s="14">
        <v>106</v>
      </c>
      <c r="F55" s="15">
        <v>384.52</v>
      </c>
      <c r="G55" s="14">
        <v>4</v>
      </c>
      <c r="H55" s="15">
        <v>919.99</v>
      </c>
      <c r="I55" s="16">
        <v>3.7589000000000001</v>
      </c>
      <c r="J55" s="16">
        <v>3.7736000000000001</v>
      </c>
      <c r="K55" s="17">
        <v>139.26</v>
      </c>
      <c r="L55" s="15">
        <v>96.13</v>
      </c>
    </row>
    <row r="56" spans="1:12" x14ac:dyDescent="0.3">
      <c r="A56" s="18" t="s">
        <v>98</v>
      </c>
      <c r="B56" s="5" t="s">
        <v>63</v>
      </c>
      <c r="C56" s="5" t="s">
        <v>88</v>
      </c>
      <c r="D56" s="19">
        <v>7596</v>
      </c>
      <c r="E56" s="19">
        <v>401</v>
      </c>
      <c r="F56" s="20">
        <v>1111.57</v>
      </c>
      <c r="G56" s="19">
        <v>35</v>
      </c>
      <c r="H56" s="20">
        <v>12839.25</v>
      </c>
      <c r="I56" s="21">
        <v>5.2790999999999997</v>
      </c>
      <c r="J56" s="21">
        <v>8.7281999999999993</v>
      </c>
      <c r="K56" s="22">
        <v>1055.06</v>
      </c>
      <c r="L56" s="20">
        <v>31.76</v>
      </c>
    </row>
    <row r="57" spans="1:12" x14ac:dyDescent="0.3">
      <c r="A57" s="13" t="s">
        <v>122</v>
      </c>
      <c r="B57" s="9" t="s">
        <v>63</v>
      </c>
      <c r="C57" s="9" t="s">
        <v>86</v>
      </c>
      <c r="D57" s="14">
        <v>7116.2940885529797</v>
      </c>
      <c r="E57" s="14">
        <v>291.91805207559003</v>
      </c>
      <c r="F57" s="15">
        <v>352.91181082349101</v>
      </c>
      <c r="G57" s="14">
        <v>10.1182899875404</v>
      </c>
      <c r="H57" s="15">
        <v>3637.4928828563202</v>
      </c>
      <c r="I57" s="16">
        <v>4.1021000000000001</v>
      </c>
      <c r="J57" s="16">
        <v>3.4661</v>
      </c>
      <c r="K57" s="17">
        <v>930.71</v>
      </c>
      <c r="L57" s="15">
        <v>34.880000000000003</v>
      </c>
    </row>
    <row r="58" spans="1:12" x14ac:dyDescent="0.3">
      <c r="A58" s="18" t="s">
        <v>123</v>
      </c>
      <c r="B58" s="5" t="s">
        <v>63</v>
      </c>
      <c r="C58" s="5" t="s">
        <v>64</v>
      </c>
      <c r="D58" s="19">
        <v>7007.06655515895</v>
      </c>
      <c r="E58" s="19">
        <v>580.50582096443202</v>
      </c>
      <c r="F58" s="20">
        <v>1270.9639389674101</v>
      </c>
      <c r="G58" s="19">
        <v>49.620444257154404</v>
      </c>
      <c r="H58" s="20">
        <v>15847.761659169901</v>
      </c>
      <c r="I58" s="21">
        <v>8.2845999999999993</v>
      </c>
      <c r="J58" s="21">
        <v>8.5478000000000005</v>
      </c>
      <c r="K58" s="22">
        <v>1146.9100000000001</v>
      </c>
      <c r="L58" s="20">
        <v>25.61</v>
      </c>
    </row>
    <row r="59" spans="1:12" x14ac:dyDescent="0.3">
      <c r="A59" s="13" t="s">
        <v>124</v>
      </c>
      <c r="B59" s="9" t="s">
        <v>63</v>
      </c>
      <c r="C59" s="9"/>
      <c r="D59" s="14">
        <v>7404</v>
      </c>
      <c r="E59" s="14">
        <v>0</v>
      </c>
      <c r="F59" s="15">
        <v>735.36</v>
      </c>
      <c r="G59" s="14">
        <v>21</v>
      </c>
      <c r="H59" s="15">
        <v>8192.9599999999991</v>
      </c>
      <c r="I59" s="16">
        <v>0</v>
      </c>
      <c r="J59" s="16">
        <v>0</v>
      </c>
      <c r="K59" s="17">
        <v>1014.14</v>
      </c>
      <c r="L59" s="15">
        <v>35.020000000000003</v>
      </c>
    </row>
    <row r="60" spans="1:12" x14ac:dyDescent="0.3">
      <c r="A60" s="18" t="s">
        <v>125</v>
      </c>
      <c r="B60" s="5" t="s">
        <v>63</v>
      </c>
      <c r="C60" s="5" t="s">
        <v>86</v>
      </c>
      <c r="D60" s="19">
        <v>7302.2469413550998</v>
      </c>
      <c r="E60" s="19">
        <v>355.83701277659497</v>
      </c>
      <c r="F60" s="20">
        <v>400.18295595424701</v>
      </c>
      <c r="G60" s="19">
        <v>23.0708884176609</v>
      </c>
      <c r="H60" s="20">
        <v>8783.9787615769492</v>
      </c>
      <c r="I60" s="21">
        <v>4.8730000000000002</v>
      </c>
      <c r="J60" s="21">
        <v>6.4836</v>
      </c>
      <c r="K60" s="22">
        <v>2094.9899999999998</v>
      </c>
      <c r="L60" s="20">
        <v>17.350000000000001</v>
      </c>
    </row>
    <row r="61" spans="1:12" x14ac:dyDescent="0.3">
      <c r="A61" s="13" t="s">
        <v>126</v>
      </c>
      <c r="B61" s="9" t="s">
        <v>63</v>
      </c>
      <c r="C61" s="9" t="s">
        <v>64</v>
      </c>
      <c r="D61" s="14">
        <v>3921</v>
      </c>
      <c r="E61" s="14">
        <v>131</v>
      </c>
      <c r="F61" s="15">
        <v>0</v>
      </c>
      <c r="G61" s="14">
        <v>11</v>
      </c>
      <c r="H61" s="15">
        <v>5237.74</v>
      </c>
      <c r="I61" s="16">
        <v>3.3410000000000002</v>
      </c>
      <c r="J61" s="16">
        <v>8.3969000000000005</v>
      </c>
      <c r="K61" s="17">
        <v>0</v>
      </c>
      <c r="L61" s="15">
        <v>0</v>
      </c>
    </row>
    <row r="62" spans="1:12" x14ac:dyDescent="0.3">
      <c r="A62" s="18" t="s">
        <v>127</v>
      </c>
      <c r="B62" s="5" t="s">
        <v>63</v>
      </c>
      <c r="C62" s="5" t="s">
        <v>71</v>
      </c>
      <c r="D62" s="19">
        <v>997.74854179465501</v>
      </c>
      <c r="E62" s="19">
        <v>30.578033407882401</v>
      </c>
      <c r="F62" s="20">
        <v>70.784756324924004</v>
      </c>
      <c r="G62" s="19">
        <v>1.9810375995459799</v>
      </c>
      <c r="H62" s="20">
        <v>557.74435444013102</v>
      </c>
      <c r="I62" s="21">
        <v>3.0647000000000002</v>
      </c>
      <c r="J62" s="21">
        <v>6.4786000000000001</v>
      </c>
      <c r="K62" s="22">
        <v>687.94</v>
      </c>
      <c r="L62" s="20">
        <v>35.729999999999997</v>
      </c>
    </row>
    <row r="63" spans="1:12" x14ac:dyDescent="0.3">
      <c r="A63" s="13" t="s">
        <v>128</v>
      </c>
      <c r="B63" s="9" t="s">
        <v>63</v>
      </c>
      <c r="C63" s="9" t="s">
        <v>67</v>
      </c>
      <c r="D63" s="14">
        <v>4543</v>
      </c>
      <c r="E63" s="14">
        <v>313</v>
      </c>
      <c r="F63" s="15">
        <v>1152.33</v>
      </c>
      <c r="G63" s="14">
        <v>22</v>
      </c>
      <c r="H63" s="15">
        <v>4372.1899999999996</v>
      </c>
      <c r="I63" s="16">
        <v>6.8897000000000004</v>
      </c>
      <c r="J63" s="16">
        <v>7.0288000000000004</v>
      </c>
      <c r="K63" s="17">
        <v>279.42</v>
      </c>
      <c r="L63" s="15">
        <v>52.38</v>
      </c>
    </row>
    <row r="64" spans="1:12" x14ac:dyDescent="0.3">
      <c r="A64" s="18" t="s">
        <v>129</v>
      </c>
      <c r="B64" s="5" t="s">
        <v>63</v>
      </c>
      <c r="C64" s="5" t="s">
        <v>67</v>
      </c>
      <c r="D64" s="19">
        <v>2297</v>
      </c>
      <c r="E64" s="19">
        <v>143</v>
      </c>
      <c r="F64" s="20">
        <v>226.77</v>
      </c>
      <c r="G64" s="19">
        <v>0</v>
      </c>
      <c r="H64" s="20">
        <v>0</v>
      </c>
      <c r="I64" s="21">
        <v>6.2255000000000003</v>
      </c>
      <c r="J64" s="21">
        <v>0</v>
      </c>
      <c r="K64" s="22">
        <v>-100</v>
      </c>
      <c r="L64" s="20">
        <v>0</v>
      </c>
    </row>
    <row r="65" spans="1:12" x14ac:dyDescent="0.3">
      <c r="A65" s="13" t="s">
        <v>130</v>
      </c>
      <c r="B65" s="9" t="s">
        <v>63</v>
      </c>
      <c r="C65" s="9" t="s">
        <v>83</v>
      </c>
      <c r="D65" s="14">
        <v>2430</v>
      </c>
      <c r="E65" s="14">
        <v>214</v>
      </c>
      <c r="F65" s="15">
        <v>214.61</v>
      </c>
      <c r="G65" s="14">
        <v>7</v>
      </c>
      <c r="H65" s="15">
        <v>849.42</v>
      </c>
      <c r="I65" s="16">
        <v>8.8065999999999995</v>
      </c>
      <c r="J65" s="16">
        <v>3.2709999999999999</v>
      </c>
      <c r="K65" s="17">
        <v>295.8</v>
      </c>
      <c r="L65" s="15">
        <v>30.66</v>
      </c>
    </row>
    <row r="66" spans="1:12" ht="22.8" x14ac:dyDescent="0.3">
      <c r="A66" s="18" t="s">
        <v>131</v>
      </c>
      <c r="B66" s="5" t="s">
        <v>63</v>
      </c>
      <c r="C66" s="5" t="s">
        <v>91</v>
      </c>
      <c r="D66" s="19">
        <v>934</v>
      </c>
      <c r="E66" s="19">
        <v>40</v>
      </c>
      <c r="F66" s="20">
        <v>137.76</v>
      </c>
      <c r="G66" s="19">
        <v>2</v>
      </c>
      <c r="H66" s="20">
        <v>771.55</v>
      </c>
      <c r="I66" s="21">
        <v>4.2827000000000002</v>
      </c>
      <c r="J66" s="21">
        <v>5</v>
      </c>
      <c r="K66" s="22">
        <v>460.07</v>
      </c>
      <c r="L66" s="20">
        <v>68.88</v>
      </c>
    </row>
    <row r="67" spans="1:12" x14ac:dyDescent="0.3">
      <c r="A67" s="13" t="s">
        <v>132</v>
      </c>
      <c r="B67" s="9" t="s">
        <v>63</v>
      </c>
      <c r="C67" s="9"/>
      <c r="D67" s="14">
        <v>4634</v>
      </c>
      <c r="E67" s="14">
        <v>172</v>
      </c>
      <c r="F67" s="15">
        <v>647.75</v>
      </c>
      <c r="G67" s="14">
        <v>6</v>
      </c>
      <c r="H67" s="15">
        <v>1005.95</v>
      </c>
      <c r="I67" s="16">
        <v>3.7117</v>
      </c>
      <c r="J67" s="16">
        <v>3.4883999999999999</v>
      </c>
      <c r="K67" s="17">
        <v>55.3</v>
      </c>
      <c r="L67" s="15">
        <v>107.96</v>
      </c>
    </row>
    <row r="68" spans="1:12" x14ac:dyDescent="0.3">
      <c r="A68" s="18" t="s">
        <v>133</v>
      </c>
      <c r="B68" s="5" t="s">
        <v>63</v>
      </c>
      <c r="C68" s="5"/>
      <c r="D68" s="19">
        <v>6144</v>
      </c>
      <c r="E68" s="19">
        <v>358</v>
      </c>
      <c r="F68" s="20">
        <v>1239.07</v>
      </c>
      <c r="G68" s="19">
        <v>18</v>
      </c>
      <c r="H68" s="20">
        <v>6495.08</v>
      </c>
      <c r="I68" s="21">
        <v>5.8268000000000004</v>
      </c>
      <c r="J68" s="21">
        <v>5.0278999999999998</v>
      </c>
      <c r="K68" s="22">
        <v>424.19</v>
      </c>
      <c r="L68" s="20">
        <v>68.84</v>
      </c>
    </row>
    <row r="69" spans="1:12" x14ac:dyDescent="0.3">
      <c r="A69" s="13" t="s">
        <v>134</v>
      </c>
      <c r="B69" s="9" t="s">
        <v>63</v>
      </c>
      <c r="C69" s="9"/>
      <c r="D69" s="14">
        <v>1681</v>
      </c>
      <c r="E69" s="14">
        <v>91</v>
      </c>
      <c r="F69" s="15">
        <v>362.12</v>
      </c>
      <c r="G69" s="14">
        <v>5</v>
      </c>
      <c r="H69" s="15">
        <v>1451.77</v>
      </c>
      <c r="I69" s="16">
        <v>5.4134000000000002</v>
      </c>
      <c r="J69" s="16">
        <v>5.4945000000000004</v>
      </c>
      <c r="K69" s="17">
        <v>300.91000000000003</v>
      </c>
      <c r="L69" s="15">
        <v>72.42</v>
      </c>
    </row>
    <row r="70" spans="1:12" x14ac:dyDescent="0.3">
      <c r="A70" s="18" t="s">
        <v>135</v>
      </c>
      <c r="B70" s="5" t="s">
        <v>63</v>
      </c>
      <c r="C70" s="5" t="s">
        <v>73</v>
      </c>
      <c r="D70" s="19">
        <v>6378</v>
      </c>
      <c r="E70" s="19">
        <v>407</v>
      </c>
      <c r="F70" s="20">
        <v>1124.21</v>
      </c>
      <c r="G70" s="19">
        <v>23</v>
      </c>
      <c r="H70" s="20">
        <v>4771.6899999999996</v>
      </c>
      <c r="I70" s="21">
        <v>6.3813000000000004</v>
      </c>
      <c r="J70" s="21">
        <v>5.6510999999999996</v>
      </c>
      <c r="K70" s="22">
        <v>324.45</v>
      </c>
      <c r="L70" s="20">
        <v>48.88</v>
      </c>
    </row>
    <row r="71" spans="1:12" x14ac:dyDescent="0.3">
      <c r="A71" s="13" t="s">
        <v>136</v>
      </c>
      <c r="B71" s="9" t="s">
        <v>63</v>
      </c>
      <c r="C71" s="9" t="s">
        <v>83</v>
      </c>
      <c r="D71" s="14">
        <v>0</v>
      </c>
      <c r="E71" s="14">
        <v>233</v>
      </c>
      <c r="F71" s="15">
        <v>331.86</v>
      </c>
      <c r="G71" s="14">
        <v>21</v>
      </c>
      <c r="H71" s="15">
        <v>5554.03</v>
      </c>
      <c r="I71" s="16">
        <v>0</v>
      </c>
      <c r="J71" s="16">
        <v>9.0129000000000001</v>
      </c>
      <c r="K71" s="17">
        <v>1573.61</v>
      </c>
      <c r="L71" s="15">
        <v>15.8</v>
      </c>
    </row>
    <row r="72" spans="1:12" x14ac:dyDescent="0.3">
      <c r="A72" s="18" t="s">
        <v>137</v>
      </c>
      <c r="B72" s="5" t="s">
        <v>63</v>
      </c>
      <c r="C72" s="5" t="s">
        <v>71</v>
      </c>
      <c r="D72" s="19">
        <v>953</v>
      </c>
      <c r="E72" s="19">
        <v>53</v>
      </c>
      <c r="F72" s="20">
        <v>0</v>
      </c>
      <c r="G72" s="19">
        <v>2</v>
      </c>
      <c r="H72" s="20">
        <v>519.83000000000004</v>
      </c>
      <c r="I72" s="21">
        <v>5.5613999999999999</v>
      </c>
      <c r="J72" s="21">
        <v>3.7736000000000001</v>
      </c>
      <c r="K72" s="22">
        <v>0</v>
      </c>
      <c r="L72" s="20">
        <v>0</v>
      </c>
    </row>
    <row r="73" spans="1:12" x14ac:dyDescent="0.3">
      <c r="A73" s="13" t="s">
        <v>138</v>
      </c>
      <c r="B73" s="9" t="s">
        <v>63</v>
      </c>
      <c r="C73" s="9" t="s">
        <v>67</v>
      </c>
      <c r="D73" s="14">
        <v>5172.18806161471</v>
      </c>
      <c r="E73" s="14">
        <v>434.15065118678598</v>
      </c>
      <c r="F73" s="15">
        <v>1646.42436482826</v>
      </c>
      <c r="G73" s="14">
        <v>12.046055034220499</v>
      </c>
      <c r="H73" s="15">
        <v>4866.5388401616301</v>
      </c>
      <c r="I73" s="16">
        <v>8.3939000000000004</v>
      </c>
      <c r="J73" s="16">
        <v>2.7746</v>
      </c>
      <c r="K73" s="17">
        <v>195.58</v>
      </c>
      <c r="L73" s="15">
        <v>136.68</v>
      </c>
    </row>
    <row r="74" spans="1:12" x14ac:dyDescent="0.3">
      <c r="A74" s="18" t="s">
        <v>139</v>
      </c>
      <c r="B74" s="5" t="s">
        <v>63</v>
      </c>
      <c r="C74" s="5" t="s">
        <v>73</v>
      </c>
      <c r="D74" s="19">
        <v>7262</v>
      </c>
      <c r="E74" s="19">
        <v>606</v>
      </c>
      <c r="F74" s="20">
        <v>1953.8</v>
      </c>
      <c r="G74" s="19">
        <v>39</v>
      </c>
      <c r="H74" s="20">
        <v>8133.56</v>
      </c>
      <c r="I74" s="21">
        <v>8.3447999999999993</v>
      </c>
      <c r="J74" s="21">
        <v>6.4356</v>
      </c>
      <c r="K74" s="22">
        <v>316.29000000000002</v>
      </c>
      <c r="L74" s="20">
        <v>50.1</v>
      </c>
    </row>
    <row r="75" spans="1:12" x14ac:dyDescent="0.3">
      <c r="A75" s="13" t="s">
        <v>140</v>
      </c>
      <c r="B75" s="9" t="s">
        <v>63</v>
      </c>
      <c r="C75" s="9" t="s">
        <v>67</v>
      </c>
      <c r="D75" s="14">
        <v>3893</v>
      </c>
      <c r="E75" s="14">
        <v>318</v>
      </c>
      <c r="F75" s="15">
        <v>676.02</v>
      </c>
      <c r="G75" s="14">
        <v>28</v>
      </c>
      <c r="H75" s="15">
        <v>4358.3599999999997</v>
      </c>
      <c r="I75" s="16">
        <v>8.1684999999999999</v>
      </c>
      <c r="J75" s="16">
        <v>8.8049999999999997</v>
      </c>
      <c r="K75" s="17">
        <v>544.71</v>
      </c>
      <c r="L75" s="15">
        <v>24.14</v>
      </c>
    </row>
    <row r="76" spans="1:12" x14ac:dyDescent="0.3">
      <c r="A76" s="18" t="s">
        <v>141</v>
      </c>
      <c r="B76" s="5" t="s">
        <v>63</v>
      </c>
      <c r="C76" s="5" t="s">
        <v>67</v>
      </c>
      <c r="D76" s="19">
        <v>3541</v>
      </c>
      <c r="E76" s="19">
        <v>188</v>
      </c>
      <c r="F76" s="20">
        <v>224.83</v>
      </c>
      <c r="G76" s="19">
        <v>18</v>
      </c>
      <c r="H76" s="20">
        <v>4419.54</v>
      </c>
      <c r="I76" s="21">
        <v>5.3091999999999997</v>
      </c>
      <c r="J76" s="21">
        <v>9.5745000000000005</v>
      </c>
      <c r="K76" s="22">
        <v>1865.73</v>
      </c>
      <c r="L76" s="20">
        <v>12.49</v>
      </c>
    </row>
    <row r="77" spans="1:12" x14ac:dyDescent="0.3">
      <c r="A77" s="13" t="s">
        <v>142</v>
      </c>
      <c r="B77" s="9" t="s">
        <v>63</v>
      </c>
      <c r="C77" s="9" t="s">
        <v>83</v>
      </c>
      <c r="D77" s="14">
        <v>7977</v>
      </c>
      <c r="E77" s="14">
        <v>599</v>
      </c>
      <c r="F77" s="15">
        <v>976.85</v>
      </c>
      <c r="G77" s="14">
        <v>52</v>
      </c>
      <c r="H77" s="15">
        <v>10095.99</v>
      </c>
      <c r="I77" s="16">
        <v>7.5091000000000001</v>
      </c>
      <c r="J77" s="16">
        <v>8.6811000000000007</v>
      </c>
      <c r="K77" s="17">
        <v>933.53</v>
      </c>
      <c r="L77" s="15">
        <v>18.79</v>
      </c>
    </row>
    <row r="78" spans="1:12" x14ac:dyDescent="0.3">
      <c r="A78" s="18" t="s">
        <v>143</v>
      </c>
      <c r="B78" s="5" t="s">
        <v>63</v>
      </c>
      <c r="C78" s="5" t="s">
        <v>115</v>
      </c>
      <c r="D78" s="19">
        <v>6369</v>
      </c>
      <c r="E78" s="19">
        <v>556</v>
      </c>
      <c r="F78" s="20">
        <v>1727.45</v>
      </c>
      <c r="G78" s="19">
        <v>26</v>
      </c>
      <c r="H78" s="20">
        <v>3786.66</v>
      </c>
      <c r="I78" s="21">
        <v>8.7297999999999991</v>
      </c>
      <c r="J78" s="21">
        <v>4.6763000000000003</v>
      </c>
      <c r="K78" s="22">
        <v>119.21</v>
      </c>
      <c r="L78" s="20">
        <v>66.44</v>
      </c>
    </row>
    <row r="79" spans="1:12" x14ac:dyDescent="0.3">
      <c r="A79" s="13" t="s">
        <v>144</v>
      </c>
      <c r="B79" s="9" t="s">
        <v>63</v>
      </c>
      <c r="C79" s="9" t="s">
        <v>115</v>
      </c>
      <c r="D79" s="14">
        <v>3307</v>
      </c>
      <c r="E79" s="14">
        <v>282</v>
      </c>
      <c r="F79" s="15">
        <v>674.26</v>
      </c>
      <c r="G79" s="14">
        <v>9</v>
      </c>
      <c r="H79" s="15">
        <v>2763.23</v>
      </c>
      <c r="I79" s="16">
        <v>8.5274000000000001</v>
      </c>
      <c r="J79" s="16">
        <v>3.1915</v>
      </c>
      <c r="K79" s="17">
        <v>309.82</v>
      </c>
      <c r="L79" s="15">
        <v>74.92</v>
      </c>
    </row>
    <row r="80" spans="1:12" x14ac:dyDescent="0.3">
      <c r="A80" s="18" t="s">
        <v>145</v>
      </c>
      <c r="B80" s="5" t="s">
        <v>63</v>
      </c>
      <c r="C80" s="5" t="s">
        <v>86</v>
      </c>
      <c r="D80" s="19">
        <v>7312</v>
      </c>
      <c r="E80" s="19">
        <v>316</v>
      </c>
      <c r="F80" s="20">
        <v>526.9</v>
      </c>
      <c r="G80" s="19">
        <v>0</v>
      </c>
      <c r="H80" s="20">
        <v>12231.53</v>
      </c>
      <c r="I80" s="21">
        <v>4.3216999999999999</v>
      </c>
      <c r="J80" s="21">
        <v>0</v>
      </c>
      <c r="K80" s="22">
        <v>2221.41</v>
      </c>
      <c r="L80" s="20">
        <v>0</v>
      </c>
    </row>
    <row r="81" spans="1:12" x14ac:dyDescent="0.3">
      <c r="A81" s="13" t="s">
        <v>146</v>
      </c>
      <c r="B81" s="9" t="s">
        <v>63</v>
      </c>
      <c r="C81" s="9" t="s">
        <v>88</v>
      </c>
      <c r="D81" s="14">
        <v>3379</v>
      </c>
      <c r="E81" s="14">
        <v>280</v>
      </c>
      <c r="F81" s="15">
        <v>728.07</v>
      </c>
      <c r="G81" s="14">
        <v>23</v>
      </c>
      <c r="H81" s="15">
        <v>4236.46</v>
      </c>
      <c r="I81" s="16">
        <v>8.2865000000000002</v>
      </c>
      <c r="J81" s="16">
        <v>8.2142999999999997</v>
      </c>
      <c r="K81" s="17">
        <v>481.88</v>
      </c>
      <c r="L81" s="15">
        <v>31.66</v>
      </c>
    </row>
    <row r="82" spans="1:12" x14ac:dyDescent="0.3">
      <c r="A82" s="18" t="s">
        <v>147</v>
      </c>
      <c r="B82" s="5" t="s">
        <v>63</v>
      </c>
      <c r="C82" s="5" t="s">
        <v>86</v>
      </c>
      <c r="D82" s="19">
        <v>1100</v>
      </c>
      <c r="E82" s="19">
        <v>87</v>
      </c>
      <c r="F82" s="20">
        <v>113.31</v>
      </c>
      <c r="G82" s="19">
        <v>6</v>
      </c>
      <c r="H82" s="20">
        <v>803.58</v>
      </c>
      <c r="I82" s="21">
        <v>7.9090999999999996</v>
      </c>
      <c r="J82" s="21">
        <v>6.8966000000000003</v>
      </c>
      <c r="K82" s="22">
        <v>609.19000000000005</v>
      </c>
      <c r="L82" s="20">
        <v>18.89</v>
      </c>
    </row>
    <row r="83" spans="1:12" ht="22.8" x14ac:dyDescent="0.3">
      <c r="A83" s="13" t="s">
        <v>104</v>
      </c>
      <c r="B83" s="9" t="s">
        <v>63</v>
      </c>
      <c r="C83" s="9" t="s">
        <v>91</v>
      </c>
      <c r="D83" s="14">
        <v>642</v>
      </c>
      <c r="E83" s="14">
        <v>0</v>
      </c>
      <c r="F83" s="15">
        <v>123.74</v>
      </c>
      <c r="G83" s="14">
        <v>2</v>
      </c>
      <c r="H83" s="15">
        <v>322.8</v>
      </c>
      <c r="I83" s="16">
        <v>0</v>
      </c>
      <c r="J83" s="16">
        <v>0</v>
      </c>
      <c r="K83" s="17">
        <v>160.87</v>
      </c>
      <c r="L83" s="15">
        <v>61.87</v>
      </c>
    </row>
    <row r="84" spans="1:12" x14ac:dyDescent="0.3">
      <c r="A84" s="18" t="s">
        <v>148</v>
      </c>
      <c r="B84" s="5" t="s">
        <v>63</v>
      </c>
      <c r="C84" s="5" t="s">
        <v>86</v>
      </c>
      <c r="D84" s="19">
        <v>7193</v>
      </c>
      <c r="E84" s="19">
        <v>0</v>
      </c>
      <c r="F84" s="20">
        <v>1293.54</v>
      </c>
      <c r="G84" s="19">
        <v>20</v>
      </c>
      <c r="H84" s="20">
        <v>7439.39</v>
      </c>
      <c r="I84" s="21">
        <v>0</v>
      </c>
      <c r="J84" s="21">
        <v>0</v>
      </c>
      <c r="K84" s="22">
        <v>475.12</v>
      </c>
      <c r="L84" s="20">
        <v>64.680000000000007</v>
      </c>
    </row>
    <row r="85" spans="1:12" x14ac:dyDescent="0.3">
      <c r="A85" s="13" t="s">
        <v>149</v>
      </c>
      <c r="B85" s="9" t="s">
        <v>63</v>
      </c>
      <c r="C85" s="9" t="s">
        <v>64</v>
      </c>
      <c r="D85" s="14">
        <v>4221</v>
      </c>
      <c r="E85" s="14">
        <v>160</v>
      </c>
      <c r="F85" s="15">
        <v>690.76</v>
      </c>
      <c r="G85" s="14">
        <v>0</v>
      </c>
      <c r="H85" s="15">
        <v>6693.76</v>
      </c>
      <c r="I85" s="16">
        <v>3.7906</v>
      </c>
      <c r="J85" s="16">
        <v>0</v>
      </c>
      <c r="K85" s="17">
        <v>869.04</v>
      </c>
      <c r="L85" s="15">
        <v>0</v>
      </c>
    </row>
    <row r="86" spans="1:12" x14ac:dyDescent="0.3">
      <c r="A86" s="18" t="s">
        <v>150</v>
      </c>
      <c r="B86" s="5" t="s">
        <v>63</v>
      </c>
      <c r="C86" s="5" t="s">
        <v>64</v>
      </c>
      <c r="D86" s="19">
        <v>3613</v>
      </c>
      <c r="E86" s="19">
        <v>153</v>
      </c>
      <c r="F86" s="20">
        <v>557.83000000000004</v>
      </c>
      <c r="G86" s="19">
        <v>10</v>
      </c>
      <c r="H86" s="20">
        <v>1435.13</v>
      </c>
      <c r="I86" s="21">
        <v>4.2347000000000001</v>
      </c>
      <c r="J86" s="21">
        <v>6.5358999999999998</v>
      </c>
      <c r="K86" s="22">
        <v>157.27000000000001</v>
      </c>
      <c r="L86" s="20">
        <v>55.78</v>
      </c>
    </row>
    <row r="87" spans="1:12" x14ac:dyDescent="0.3">
      <c r="A87" s="13" t="s">
        <v>151</v>
      </c>
      <c r="B87" s="9" t="s">
        <v>63</v>
      </c>
      <c r="C87" s="9" t="s">
        <v>69</v>
      </c>
      <c r="D87" s="14">
        <v>4775</v>
      </c>
      <c r="E87" s="14">
        <v>297</v>
      </c>
      <c r="F87" s="15">
        <v>960.7</v>
      </c>
      <c r="G87" s="14">
        <v>25</v>
      </c>
      <c r="H87" s="15">
        <v>8496.76</v>
      </c>
      <c r="I87" s="16">
        <v>6.2199</v>
      </c>
      <c r="J87" s="16">
        <v>8.4175000000000004</v>
      </c>
      <c r="K87" s="17">
        <v>784.43</v>
      </c>
      <c r="L87" s="15">
        <v>38.43</v>
      </c>
    </row>
    <row r="88" spans="1:12" x14ac:dyDescent="0.3">
      <c r="A88" s="18" t="s">
        <v>152</v>
      </c>
      <c r="B88" s="5" t="s">
        <v>63</v>
      </c>
      <c r="C88" s="5" t="s">
        <v>86</v>
      </c>
      <c r="D88" s="19">
        <v>5946</v>
      </c>
      <c r="E88" s="19">
        <v>289</v>
      </c>
      <c r="F88" s="20">
        <v>361.51</v>
      </c>
      <c r="G88" s="19">
        <v>27</v>
      </c>
      <c r="H88" s="20">
        <v>11155.01</v>
      </c>
      <c r="I88" s="21">
        <v>4.8604000000000003</v>
      </c>
      <c r="J88" s="21">
        <v>9.3425999999999991</v>
      </c>
      <c r="K88" s="22">
        <v>2985.67</v>
      </c>
      <c r="L88" s="20">
        <v>13.39</v>
      </c>
    </row>
    <row r="89" spans="1:12" x14ac:dyDescent="0.3">
      <c r="A89" s="13" t="s">
        <v>116</v>
      </c>
      <c r="B89" s="9" t="s">
        <v>63</v>
      </c>
      <c r="C89" s="9" t="s">
        <v>115</v>
      </c>
      <c r="D89" s="14">
        <v>2127</v>
      </c>
      <c r="E89" s="14">
        <v>99</v>
      </c>
      <c r="F89" s="15">
        <v>359.98</v>
      </c>
      <c r="G89" s="14">
        <v>3</v>
      </c>
      <c r="H89" s="15">
        <v>1111.6400000000001</v>
      </c>
      <c r="I89" s="16">
        <v>4.6543999999999999</v>
      </c>
      <c r="J89" s="16">
        <v>3.0303</v>
      </c>
      <c r="K89" s="17">
        <v>208.81</v>
      </c>
      <c r="L89" s="15">
        <v>119.99</v>
      </c>
    </row>
    <row r="90" spans="1:12" x14ac:dyDescent="0.3">
      <c r="A90" s="18" t="s">
        <v>153</v>
      </c>
      <c r="B90" s="5" t="s">
        <v>63</v>
      </c>
      <c r="C90" s="5" t="s">
        <v>88</v>
      </c>
      <c r="D90" s="19">
        <v>5206</v>
      </c>
      <c r="E90" s="19">
        <v>328</v>
      </c>
      <c r="F90" s="20">
        <v>905.38</v>
      </c>
      <c r="G90" s="19">
        <v>31</v>
      </c>
      <c r="H90" s="20">
        <v>5685.85</v>
      </c>
      <c r="I90" s="21">
        <v>6.3003999999999998</v>
      </c>
      <c r="J90" s="21">
        <v>9.4512</v>
      </c>
      <c r="K90" s="22">
        <v>528.01</v>
      </c>
      <c r="L90" s="20">
        <v>29.21</v>
      </c>
    </row>
    <row r="91" spans="1:12" x14ac:dyDescent="0.3">
      <c r="A91" s="13" t="s">
        <v>154</v>
      </c>
      <c r="B91" s="9" t="s">
        <v>63</v>
      </c>
      <c r="C91" s="9" t="s">
        <v>115</v>
      </c>
      <c r="D91" s="14">
        <v>7240</v>
      </c>
      <c r="E91" s="14">
        <v>342</v>
      </c>
      <c r="F91" s="15">
        <v>667.78</v>
      </c>
      <c r="G91" s="14">
        <v>17</v>
      </c>
      <c r="H91" s="15">
        <v>3211.92</v>
      </c>
      <c r="I91" s="16">
        <v>4.7237999999999998</v>
      </c>
      <c r="J91" s="16">
        <v>4.9707999999999997</v>
      </c>
      <c r="K91" s="17">
        <v>380.98</v>
      </c>
      <c r="L91" s="15">
        <v>39.28</v>
      </c>
    </row>
    <row r="92" spans="1:12" x14ac:dyDescent="0.3">
      <c r="A92" s="18" t="s">
        <v>155</v>
      </c>
      <c r="B92" s="5" t="s">
        <v>63</v>
      </c>
      <c r="C92" s="5" t="s">
        <v>73</v>
      </c>
      <c r="D92" s="19">
        <v>3346</v>
      </c>
      <c r="E92" s="19">
        <v>248</v>
      </c>
      <c r="F92" s="20">
        <v>910.97</v>
      </c>
      <c r="G92" s="19">
        <v>13</v>
      </c>
      <c r="H92" s="20">
        <v>1622.39</v>
      </c>
      <c r="I92" s="21">
        <v>7.4118000000000004</v>
      </c>
      <c r="J92" s="21">
        <v>5.2419000000000002</v>
      </c>
      <c r="K92" s="22">
        <v>78.09</v>
      </c>
      <c r="L92" s="20">
        <v>70.069999999999993</v>
      </c>
    </row>
    <row r="93" spans="1:12" x14ac:dyDescent="0.3">
      <c r="A93" s="13" t="s">
        <v>121</v>
      </c>
      <c r="B93" s="9" t="s">
        <v>63</v>
      </c>
      <c r="C93" s="9" t="s">
        <v>73</v>
      </c>
      <c r="D93" s="14">
        <v>4961</v>
      </c>
      <c r="E93" s="14">
        <v>410</v>
      </c>
      <c r="F93" s="15">
        <v>1459.08</v>
      </c>
      <c r="G93" s="14">
        <v>19</v>
      </c>
      <c r="H93" s="15">
        <v>6623.35</v>
      </c>
      <c r="I93" s="16">
        <v>8.2645</v>
      </c>
      <c r="J93" s="16">
        <v>4.6341000000000001</v>
      </c>
      <c r="K93" s="17">
        <v>353.94</v>
      </c>
      <c r="L93" s="15">
        <v>76.790000000000006</v>
      </c>
    </row>
    <row r="94" spans="1:12" x14ac:dyDescent="0.3">
      <c r="A94" s="18" t="s">
        <v>156</v>
      </c>
      <c r="B94" s="5" t="s">
        <v>63</v>
      </c>
      <c r="C94" s="5"/>
      <c r="D94" s="19">
        <v>2174</v>
      </c>
      <c r="E94" s="19">
        <v>121</v>
      </c>
      <c r="F94" s="20">
        <v>413.97</v>
      </c>
      <c r="G94" s="19">
        <v>5</v>
      </c>
      <c r="H94" s="20">
        <v>617</v>
      </c>
      <c r="I94" s="21">
        <v>5.5658000000000003</v>
      </c>
      <c r="J94" s="21">
        <v>4.1322000000000001</v>
      </c>
      <c r="K94" s="22">
        <v>49.04</v>
      </c>
      <c r="L94" s="20">
        <v>82.79</v>
      </c>
    </row>
    <row r="95" spans="1:12" x14ac:dyDescent="0.3">
      <c r="A95" s="13" t="s">
        <v>157</v>
      </c>
      <c r="B95" s="9" t="s">
        <v>63</v>
      </c>
      <c r="C95" s="9" t="s">
        <v>83</v>
      </c>
      <c r="D95" s="14">
        <v>3136</v>
      </c>
      <c r="E95" s="14">
        <v>197</v>
      </c>
      <c r="F95" s="15">
        <v>433.15</v>
      </c>
      <c r="G95" s="14">
        <v>17</v>
      </c>
      <c r="H95" s="15">
        <v>5155.26</v>
      </c>
      <c r="I95" s="16">
        <v>6.2819000000000003</v>
      </c>
      <c r="J95" s="16">
        <v>8.6294000000000004</v>
      </c>
      <c r="K95" s="17">
        <v>1090.18</v>
      </c>
      <c r="L95" s="15">
        <v>25.48</v>
      </c>
    </row>
    <row r="96" spans="1:12" x14ac:dyDescent="0.3">
      <c r="A96" s="18" t="s">
        <v>158</v>
      </c>
      <c r="B96" s="5" t="s">
        <v>63</v>
      </c>
      <c r="C96" s="5" t="s">
        <v>86</v>
      </c>
      <c r="D96" s="19">
        <v>7228</v>
      </c>
      <c r="E96" s="19">
        <v>355</v>
      </c>
      <c r="F96" s="20">
        <v>363.45</v>
      </c>
      <c r="G96" s="19">
        <v>15</v>
      </c>
      <c r="H96" s="20">
        <v>6751.66</v>
      </c>
      <c r="I96" s="21">
        <v>4.9115000000000002</v>
      </c>
      <c r="J96" s="21">
        <v>4.2253999999999996</v>
      </c>
      <c r="K96" s="22">
        <v>1757.66</v>
      </c>
      <c r="L96" s="20">
        <v>24.23</v>
      </c>
    </row>
    <row r="97" spans="1:12" x14ac:dyDescent="0.3">
      <c r="A97" s="13" t="s">
        <v>159</v>
      </c>
      <c r="B97" s="9" t="s">
        <v>63</v>
      </c>
      <c r="C97" s="9" t="s">
        <v>71</v>
      </c>
      <c r="D97" s="14">
        <v>736</v>
      </c>
      <c r="E97" s="14">
        <v>30</v>
      </c>
      <c r="F97" s="15">
        <v>92.98</v>
      </c>
      <c r="G97" s="14">
        <v>2</v>
      </c>
      <c r="H97" s="15">
        <v>681.85</v>
      </c>
      <c r="I97" s="16">
        <v>4.0761000000000003</v>
      </c>
      <c r="J97" s="16">
        <v>6.6666999999999996</v>
      </c>
      <c r="K97" s="17">
        <v>633.33000000000004</v>
      </c>
      <c r="L97" s="15">
        <v>46.49</v>
      </c>
    </row>
    <row r="98" spans="1:12" x14ac:dyDescent="0.3">
      <c r="A98" s="18" t="s">
        <v>160</v>
      </c>
      <c r="B98" s="5" t="s">
        <v>63</v>
      </c>
      <c r="C98" s="5" t="s">
        <v>86</v>
      </c>
      <c r="D98" s="19">
        <v>4532</v>
      </c>
      <c r="E98" s="19">
        <v>374</v>
      </c>
      <c r="F98" s="20">
        <v>1625.2</v>
      </c>
      <c r="G98" s="19">
        <v>29</v>
      </c>
      <c r="H98" s="20">
        <v>6679.58</v>
      </c>
      <c r="I98" s="21">
        <v>8.2523999999999997</v>
      </c>
      <c r="J98" s="21">
        <v>7.7539999999999996</v>
      </c>
      <c r="K98" s="22">
        <v>311</v>
      </c>
      <c r="L98" s="20">
        <v>56.04</v>
      </c>
    </row>
    <row r="99" spans="1:12" x14ac:dyDescent="0.3">
      <c r="A99" s="13" t="s">
        <v>133</v>
      </c>
      <c r="B99" s="9" t="s">
        <v>63</v>
      </c>
      <c r="C99" s="9" t="s">
        <v>67</v>
      </c>
      <c r="D99" s="14">
        <v>6251</v>
      </c>
      <c r="E99" s="14">
        <v>554</v>
      </c>
      <c r="F99" s="15">
        <v>1740.59</v>
      </c>
      <c r="G99" s="14">
        <v>32</v>
      </c>
      <c r="H99" s="15">
        <v>5356.01</v>
      </c>
      <c r="I99" s="16">
        <v>8.8626000000000005</v>
      </c>
      <c r="J99" s="16">
        <v>5.7762000000000002</v>
      </c>
      <c r="K99" s="17">
        <v>207.71</v>
      </c>
      <c r="L99" s="15">
        <v>54.39</v>
      </c>
    </row>
    <row r="100" spans="1:12" x14ac:dyDescent="0.3">
      <c r="A100" s="18" t="s">
        <v>161</v>
      </c>
      <c r="B100" s="5" t="s">
        <v>63</v>
      </c>
      <c r="C100" s="5" t="s">
        <v>73</v>
      </c>
      <c r="D100" s="19">
        <v>1849</v>
      </c>
      <c r="E100" s="19">
        <v>65</v>
      </c>
      <c r="F100" s="20">
        <v>0</v>
      </c>
      <c r="G100" s="19">
        <v>2</v>
      </c>
      <c r="H100" s="20">
        <v>912.27</v>
      </c>
      <c r="I100" s="21">
        <v>3.5154000000000001</v>
      </c>
      <c r="J100" s="21">
        <v>3.0769000000000002</v>
      </c>
      <c r="K100" s="22">
        <v>0</v>
      </c>
      <c r="L100" s="20">
        <v>0</v>
      </c>
    </row>
    <row r="101" spans="1:12" ht="22.8" x14ac:dyDescent="0.3">
      <c r="A101" s="13" t="s">
        <v>96</v>
      </c>
      <c r="B101" s="9" t="s">
        <v>63</v>
      </c>
      <c r="C101" s="9" t="s">
        <v>91</v>
      </c>
      <c r="D101" s="14">
        <v>7129</v>
      </c>
      <c r="E101" s="14">
        <v>505</v>
      </c>
      <c r="F101" s="15">
        <v>2100.7199999999998</v>
      </c>
      <c r="G101" s="14">
        <v>39</v>
      </c>
      <c r="H101" s="15">
        <v>14037.11</v>
      </c>
      <c r="I101" s="16">
        <v>7.0837000000000003</v>
      </c>
      <c r="J101" s="16">
        <v>7.7228000000000003</v>
      </c>
      <c r="K101" s="17">
        <v>568.20000000000005</v>
      </c>
      <c r="L101" s="15">
        <v>53.86</v>
      </c>
    </row>
    <row r="102" spans="1:12" x14ac:dyDescent="0.3">
      <c r="A102" s="18" t="s">
        <v>76</v>
      </c>
      <c r="B102" s="5" t="s">
        <v>63</v>
      </c>
      <c r="C102" s="5" t="s">
        <v>69</v>
      </c>
      <c r="D102" s="19">
        <v>5253</v>
      </c>
      <c r="E102" s="19">
        <v>384</v>
      </c>
      <c r="F102" s="20">
        <v>1093.71</v>
      </c>
      <c r="G102" s="19">
        <v>15</v>
      </c>
      <c r="H102" s="20">
        <v>2660.6</v>
      </c>
      <c r="I102" s="21">
        <v>7.3101000000000003</v>
      </c>
      <c r="J102" s="21">
        <v>3.9062000000000001</v>
      </c>
      <c r="K102" s="22">
        <v>143.26</v>
      </c>
      <c r="L102" s="20">
        <v>72.91</v>
      </c>
    </row>
    <row r="103" spans="1:12" x14ac:dyDescent="0.3">
      <c r="A103" s="13" t="s">
        <v>121</v>
      </c>
      <c r="B103" s="9" t="s">
        <v>63</v>
      </c>
      <c r="C103" s="9" t="s">
        <v>69</v>
      </c>
      <c r="D103" s="14">
        <v>7370</v>
      </c>
      <c r="E103" s="14">
        <v>479</v>
      </c>
      <c r="F103" s="15">
        <v>641.58000000000004</v>
      </c>
      <c r="G103" s="14">
        <v>31</v>
      </c>
      <c r="H103" s="15">
        <v>12137.25</v>
      </c>
      <c r="I103" s="16">
        <v>6.4992999999999999</v>
      </c>
      <c r="J103" s="16">
        <v>6.4718</v>
      </c>
      <c r="K103" s="17">
        <v>1791.77</v>
      </c>
      <c r="L103" s="15">
        <v>20.7</v>
      </c>
    </row>
    <row r="104" spans="1:12" x14ac:dyDescent="0.3">
      <c r="A104" s="18" t="s">
        <v>108</v>
      </c>
      <c r="B104" s="5" t="s">
        <v>63</v>
      </c>
      <c r="C104" s="5" t="s">
        <v>64</v>
      </c>
      <c r="D104" s="19">
        <v>5923</v>
      </c>
      <c r="E104" s="19">
        <v>500</v>
      </c>
      <c r="F104" s="20">
        <v>1647.58</v>
      </c>
      <c r="G104" s="19">
        <v>33</v>
      </c>
      <c r="H104" s="20">
        <v>15042.4</v>
      </c>
      <c r="I104" s="21">
        <v>8.4417000000000009</v>
      </c>
      <c r="J104" s="21">
        <v>6.6</v>
      </c>
      <c r="K104" s="22">
        <v>813</v>
      </c>
      <c r="L104" s="20">
        <v>49.93</v>
      </c>
    </row>
    <row r="105" spans="1:12" x14ac:dyDescent="0.3">
      <c r="A105" s="13" t="s">
        <v>162</v>
      </c>
      <c r="B105" s="9" t="s">
        <v>63</v>
      </c>
      <c r="C105" s="9" t="s">
        <v>67</v>
      </c>
      <c r="D105" s="14">
        <v>6954</v>
      </c>
      <c r="E105" s="14">
        <v>457</v>
      </c>
      <c r="F105" s="15">
        <v>1803.05</v>
      </c>
      <c r="G105" s="14">
        <v>18</v>
      </c>
      <c r="H105" s="15">
        <v>5561.98</v>
      </c>
      <c r="I105" s="16">
        <v>6.5717999999999996</v>
      </c>
      <c r="J105" s="16">
        <v>3.9386999999999999</v>
      </c>
      <c r="K105" s="17">
        <v>208.48</v>
      </c>
      <c r="L105" s="15">
        <v>100.17</v>
      </c>
    </row>
    <row r="106" spans="1:12" x14ac:dyDescent="0.3">
      <c r="A106" s="18" t="s">
        <v>163</v>
      </c>
      <c r="B106" s="5" t="s">
        <v>63</v>
      </c>
      <c r="C106" s="5" t="s">
        <v>86</v>
      </c>
      <c r="D106" s="19">
        <v>4625</v>
      </c>
      <c r="E106" s="19">
        <v>307</v>
      </c>
      <c r="F106" s="20">
        <v>959.97</v>
      </c>
      <c r="G106" s="19">
        <v>15</v>
      </c>
      <c r="H106" s="20">
        <v>4255.4399999999996</v>
      </c>
      <c r="I106" s="21">
        <v>6.6378000000000004</v>
      </c>
      <c r="J106" s="21">
        <v>4.8860000000000001</v>
      </c>
      <c r="K106" s="22">
        <v>343.29</v>
      </c>
      <c r="L106" s="20">
        <v>64</v>
      </c>
    </row>
    <row r="107" spans="1:12" x14ac:dyDescent="0.3">
      <c r="A107" s="13" t="s">
        <v>80</v>
      </c>
      <c r="B107" s="9" t="s">
        <v>63</v>
      </c>
      <c r="C107" s="9" t="s">
        <v>115</v>
      </c>
      <c r="D107" s="14">
        <v>5647</v>
      </c>
      <c r="E107" s="14">
        <v>192</v>
      </c>
      <c r="F107" s="15">
        <v>563.4</v>
      </c>
      <c r="G107" s="14">
        <v>18</v>
      </c>
      <c r="H107" s="15">
        <v>0</v>
      </c>
      <c r="I107" s="16">
        <v>3.4</v>
      </c>
      <c r="J107" s="16">
        <v>9.375</v>
      </c>
      <c r="K107" s="17">
        <v>-100</v>
      </c>
      <c r="L107" s="15">
        <v>31.3</v>
      </c>
    </row>
    <row r="108" spans="1:12" x14ac:dyDescent="0.3">
      <c r="A108" s="18" t="s">
        <v>164</v>
      </c>
      <c r="B108" s="5" t="s">
        <v>63</v>
      </c>
      <c r="C108" s="5" t="s">
        <v>83</v>
      </c>
      <c r="D108" s="19">
        <v>5829</v>
      </c>
      <c r="E108" s="19">
        <v>500</v>
      </c>
      <c r="F108" s="20">
        <v>456.16</v>
      </c>
      <c r="G108" s="19">
        <v>47</v>
      </c>
      <c r="H108" s="20">
        <v>15178.49</v>
      </c>
      <c r="I108" s="21">
        <v>8.5777999999999999</v>
      </c>
      <c r="J108" s="21">
        <v>9.4</v>
      </c>
      <c r="K108" s="22">
        <v>3227.45</v>
      </c>
      <c r="L108" s="20">
        <v>9.7100000000000009</v>
      </c>
    </row>
    <row r="109" spans="1:12" x14ac:dyDescent="0.3">
      <c r="A109" s="13" t="s">
        <v>65</v>
      </c>
      <c r="B109" s="9" t="s">
        <v>63</v>
      </c>
      <c r="C109" s="9" t="s">
        <v>115</v>
      </c>
      <c r="D109" s="14">
        <v>0</v>
      </c>
      <c r="E109" s="14">
        <v>252</v>
      </c>
      <c r="F109" s="15">
        <v>470.43</v>
      </c>
      <c r="G109" s="14">
        <v>11</v>
      </c>
      <c r="H109" s="15">
        <v>2234.5500000000002</v>
      </c>
      <c r="I109" s="16">
        <v>0</v>
      </c>
      <c r="J109" s="16">
        <v>4.3651</v>
      </c>
      <c r="K109" s="17">
        <v>375</v>
      </c>
      <c r="L109" s="15">
        <v>42.77</v>
      </c>
    </row>
    <row r="110" spans="1:12" x14ac:dyDescent="0.3">
      <c r="A110" s="18" t="s">
        <v>165</v>
      </c>
      <c r="B110" s="5" t="s">
        <v>63</v>
      </c>
      <c r="C110" s="5" t="s">
        <v>64</v>
      </c>
      <c r="D110" s="19">
        <v>5670</v>
      </c>
      <c r="E110" s="19">
        <v>465</v>
      </c>
      <c r="F110" s="20">
        <v>1279.04</v>
      </c>
      <c r="G110" s="19">
        <v>23</v>
      </c>
      <c r="H110" s="20">
        <v>6391.77</v>
      </c>
      <c r="I110" s="21">
        <v>8.2011000000000003</v>
      </c>
      <c r="J110" s="21">
        <v>4.9462000000000002</v>
      </c>
      <c r="K110" s="22">
        <v>399.73</v>
      </c>
      <c r="L110" s="20">
        <v>55.61</v>
      </c>
    </row>
    <row r="111" spans="1:12" x14ac:dyDescent="0.3">
      <c r="A111" s="13" t="s">
        <v>166</v>
      </c>
      <c r="B111" s="9" t="s">
        <v>63</v>
      </c>
      <c r="C111" s="9" t="s">
        <v>88</v>
      </c>
      <c r="D111" s="14">
        <v>5819</v>
      </c>
      <c r="E111" s="14">
        <v>443</v>
      </c>
      <c r="F111" s="15">
        <v>822.01</v>
      </c>
      <c r="G111" s="14">
        <v>26</v>
      </c>
      <c r="H111" s="15">
        <v>12358.88</v>
      </c>
      <c r="I111" s="16">
        <v>7.6130000000000004</v>
      </c>
      <c r="J111" s="16">
        <v>5.8691000000000004</v>
      </c>
      <c r="K111" s="17">
        <v>1403.5</v>
      </c>
      <c r="L111" s="15">
        <v>31.62</v>
      </c>
    </row>
    <row r="112" spans="1:12" x14ac:dyDescent="0.3">
      <c r="A112" s="18" t="s">
        <v>167</v>
      </c>
      <c r="B112" s="5" t="s">
        <v>63</v>
      </c>
      <c r="C112" s="5" t="s">
        <v>64</v>
      </c>
      <c r="D112" s="19">
        <v>1953</v>
      </c>
      <c r="E112" s="19">
        <v>99</v>
      </c>
      <c r="F112" s="20">
        <v>283.07</v>
      </c>
      <c r="G112" s="19">
        <v>6</v>
      </c>
      <c r="H112" s="20">
        <v>1306.71</v>
      </c>
      <c r="I112" s="21">
        <v>5.0690999999999997</v>
      </c>
      <c r="J112" s="21">
        <v>6.0606</v>
      </c>
      <c r="K112" s="22">
        <v>361.62</v>
      </c>
      <c r="L112" s="20">
        <v>47.18</v>
      </c>
    </row>
    <row r="113" spans="1:12" x14ac:dyDescent="0.3">
      <c r="A113" s="13" t="s">
        <v>168</v>
      </c>
      <c r="B113" s="9" t="s">
        <v>63</v>
      </c>
      <c r="C113" s="9" t="s">
        <v>64</v>
      </c>
      <c r="D113" s="14">
        <v>6303</v>
      </c>
      <c r="E113" s="14">
        <v>320</v>
      </c>
      <c r="F113" s="15">
        <v>844.43</v>
      </c>
      <c r="G113" s="14">
        <v>0</v>
      </c>
      <c r="H113" s="15">
        <v>2662.15</v>
      </c>
      <c r="I113" s="16">
        <v>5.0769000000000002</v>
      </c>
      <c r="J113" s="16">
        <v>0</v>
      </c>
      <c r="K113" s="17">
        <v>215.26</v>
      </c>
      <c r="L113" s="15">
        <v>0</v>
      </c>
    </row>
    <row r="114" spans="1:12" x14ac:dyDescent="0.3">
      <c r="A114" s="18" t="s">
        <v>169</v>
      </c>
      <c r="B114" s="5" t="s">
        <v>63</v>
      </c>
      <c r="C114" s="5"/>
      <c r="D114" s="19">
        <v>4054</v>
      </c>
      <c r="E114" s="19">
        <v>130</v>
      </c>
      <c r="F114" s="20">
        <v>616997.03634756804</v>
      </c>
      <c r="G114" s="19">
        <v>5</v>
      </c>
      <c r="H114" s="20">
        <v>1608.15</v>
      </c>
      <c r="I114" s="21">
        <v>3.2067000000000001</v>
      </c>
      <c r="J114" s="21">
        <v>3.8462000000000001</v>
      </c>
      <c r="K114" s="22">
        <v>-99.74</v>
      </c>
      <c r="L114" s="20">
        <v>123399.41</v>
      </c>
    </row>
    <row r="115" spans="1:12" x14ac:dyDescent="0.3">
      <c r="A115" s="13" t="s">
        <v>70</v>
      </c>
      <c r="B115" s="9" t="s">
        <v>63</v>
      </c>
      <c r="C115" s="9" t="s">
        <v>64</v>
      </c>
      <c r="D115" s="14">
        <v>5205</v>
      </c>
      <c r="E115" s="14">
        <v>157</v>
      </c>
      <c r="F115" s="15">
        <v>614.62</v>
      </c>
      <c r="G115" s="14">
        <v>14</v>
      </c>
      <c r="H115" s="15">
        <v>6499.25</v>
      </c>
      <c r="I115" s="16">
        <v>3.0163000000000002</v>
      </c>
      <c r="J115" s="16">
        <v>8.9171999999999993</v>
      </c>
      <c r="K115" s="17">
        <v>957.44</v>
      </c>
      <c r="L115" s="15">
        <v>43.9</v>
      </c>
    </row>
    <row r="116" spans="1:12" x14ac:dyDescent="0.3">
      <c r="A116" s="18" t="s">
        <v>170</v>
      </c>
      <c r="B116" s="5" t="s">
        <v>63</v>
      </c>
      <c r="C116" s="5" t="s">
        <v>67</v>
      </c>
      <c r="D116" s="19">
        <v>4276</v>
      </c>
      <c r="E116" s="19">
        <v>215</v>
      </c>
      <c r="F116" s="20">
        <v>478.87</v>
      </c>
      <c r="G116" s="19">
        <v>19</v>
      </c>
      <c r="H116" s="20">
        <v>9040.01</v>
      </c>
      <c r="I116" s="21">
        <v>5.0281000000000002</v>
      </c>
      <c r="J116" s="21">
        <v>8.8371999999999993</v>
      </c>
      <c r="K116" s="22">
        <v>1787.78</v>
      </c>
      <c r="L116" s="20">
        <v>25.2</v>
      </c>
    </row>
    <row r="117" spans="1:12" x14ac:dyDescent="0.3">
      <c r="A117" s="13" t="s">
        <v>171</v>
      </c>
      <c r="B117" s="9" t="s">
        <v>63</v>
      </c>
      <c r="C117" s="9" t="s">
        <v>86</v>
      </c>
      <c r="D117" s="14">
        <v>7048</v>
      </c>
      <c r="E117" s="14">
        <v>345</v>
      </c>
      <c r="F117" s="15">
        <v>798.54</v>
      </c>
      <c r="G117" s="14">
        <v>27</v>
      </c>
      <c r="H117" s="15">
        <v>12332.32</v>
      </c>
      <c r="I117" s="16">
        <v>4.8949999999999996</v>
      </c>
      <c r="J117" s="16">
        <v>7.8261000000000003</v>
      </c>
      <c r="K117" s="17">
        <v>1444.36</v>
      </c>
      <c r="L117" s="15">
        <v>29.58</v>
      </c>
    </row>
    <row r="118" spans="1:12" x14ac:dyDescent="0.3">
      <c r="A118" s="18" t="s">
        <v>123</v>
      </c>
      <c r="B118" s="5" t="s">
        <v>63</v>
      </c>
      <c r="C118" s="5" t="s">
        <v>86</v>
      </c>
      <c r="D118" s="19">
        <v>6342</v>
      </c>
      <c r="E118" s="19">
        <v>197</v>
      </c>
      <c r="F118" s="20">
        <v>515.39</v>
      </c>
      <c r="G118" s="19">
        <v>7</v>
      </c>
      <c r="H118" s="20">
        <v>2002.9</v>
      </c>
      <c r="I118" s="21">
        <v>3.1063000000000001</v>
      </c>
      <c r="J118" s="21">
        <v>3.5533000000000001</v>
      </c>
      <c r="K118" s="22">
        <v>288.62</v>
      </c>
      <c r="L118" s="20">
        <v>73.63</v>
      </c>
    </row>
    <row r="119" spans="1:12" x14ac:dyDescent="0.3">
      <c r="A119" s="13" t="s">
        <v>172</v>
      </c>
      <c r="B119" s="9" t="s">
        <v>63</v>
      </c>
      <c r="C119" s="9" t="s">
        <v>115</v>
      </c>
      <c r="D119" s="14">
        <v>5121</v>
      </c>
      <c r="E119" s="14">
        <v>294</v>
      </c>
      <c r="F119" s="15">
        <v>254.28</v>
      </c>
      <c r="G119" s="14">
        <v>20</v>
      </c>
      <c r="H119" s="15">
        <v>5991.26</v>
      </c>
      <c r="I119" s="16">
        <v>5.7411000000000003</v>
      </c>
      <c r="J119" s="16">
        <v>6.8026999999999997</v>
      </c>
      <c r="K119" s="17">
        <v>2256.17</v>
      </c>
      <c r="L119" s="15">
        <v>12.71</v>
      </c>
    </row>
    <row r="120" spans="1:12" x14ac:dyDescent="0.3">
      <c r="A120" s="18" t="s">
        <v>173</v>
      </c>
      <c r="B120" s="5" t="s">
        <v>63</v>
      </c>
      <c r="C120" s="5" t="s">
        <v>83</v>
      </c>
      <c r="D120" s="19">
        <v>2719</v>
      </c>
      <c r="E120" s="19">
        <v>121</v>
      </c>
      <c r="F120" s="20">
        <v>0</v>
      </c>
      <c r="G120" s="19">
        <v>6</v>
      </c>
      <c r="H120" s="20">
        <v>896.11</v>
      </c>
      <c r="I120" s="21">
        <v>4.4501999999999997</v>
      </c>
      <c r="J120" s="21">
        <v>4.9587000000000003</v>
      </c>
      <c r="K120" s="22">
        <v>0</v>
      </c>
      <c r="L120" s="20">
        <v>0</v>
      </c>
    </row>
    <row r="121" spans="1:12" ht="22.8" x14ac:dyDescent="0.3">
      <c r="A121" s="13" t="s">
        <v>174</v>
      </c>
      <c r="B121" s="9" t="s">
        <v>63</v>
      </c>
      <c r="C121" s="9" t="s">
        <v>91</v>
      </c>
      <c r="D121" s="14">
        <v>6107</v>
      </c>
      <c r="E121" s="14">
        <v>443</v>
      </c>
      <c r="F121" s="15">
        <v>636.1</v>
      </c>
      <c r="G121" s="14">
        <v>0</v>
      </c>
      <c r="H121" s="15">
        <v>6385.23</v>
      </c>
      <c r="I121" s="16">
        <v>7.2539999999999996</v>
      </c>
      <c r="J121" s="16">
        <v>0</v>
      </c>
      <c r="K121" s="17">
        <v>903.81</v>
      </c>
      <c r="L121" s="15">
        <v>0</v>
      </c>
    </row>
    <row r="122" spans="1:12" x14ac:dyDescent="0.3">
      <c r="A122" s="18" t="s">
        <v>175</v>
      </c>
      <c r="B122" s="5" t="s">
        <v>63</v>
      </c>
      <c r="C122" s="5" t="s">
        <v>88</v>
      </c>
      <c r="D122" s="19">
        <v>3573</v>
      </c>
      <c r="E122" s="19">
        <v>170</v>
      </c>
      <c r="F122" s="20">
        <v>241.63</v>
      </c>
      <c r="G122" s="19">
        <v>15</v>
      </c>
      <c r="H122" s="20">
        <v>5550.33</v>
      </c>
      <c r="I122" s="21">
        <v>4.7579000000000002</v>
      </c>
      <c r="J122" s="21">
        <v>8.8234999999999992</v>
      </c>
      <c r="K122" s="22">
        <v>2197.04</v>
      </c>
      <c r="L122" s="20">
        <v>16.11</v>
      </c>
    </row>
    <row r="123" spans="1:12" x14ac:dyDescent="0.3">
      <c r="A123" s="13" t="s">
        <v>154</v>
      </c>
      <c r="B123" s="9" t="s">
        <v>63</v>
      </c>
      <c r="C123" s="9" t="s">
        <v>88</v>
      </c>
      <c r="D123" s="14">
        <v>6040</v>
      </c>
      <c r="E123" s="14">
        <v>509</v>
      </c>
      <c r="F123" s="15">
        <v>1622.55</v>
      </c>
      <c r="G123" s="14">
        <v>44</v>
      </c>
      <c r="H123" s="15">
        <v>10454.200000000001</v>
      </c>
      <c r="I123" s="16">
        <v>8.4271999999999991</v>
      </c>
      <c r="J123" s="16">
        <v>8.6443999999999992</v>
      </c>
      <c r="K123" s="17">
        <v>544.30999999999995</v>
      </c>
      <c r="L123" s="15">
        <v>36.880000000000003</v>
      </c>
    </row>
    <row r="124" spans="1:12" x14ac:dyDescent="0.3">
      <c r="A124" s="18" t="s">
        <v>176</v>
      </c>
      <c r="B124" s="5" t="s">
        <v>63</v>
      </c>
      <c r="C124" s="5" t="s">
        <v>69</v>
      </c>
      <c r="D124" s="19">
        <v>1767</v>
      </c>
      <c r="E124" s="19">
        <v>0</v>
      </c>
      <c r="F124" s="20">
        <v>193.4</v>
      </c>
      <c r="G124" s="19">
        <v>13</v>
      </c>
      <c r="H124" s="20">
        <v>3468.83</v>
      </c>
      <c r="I124" s="21">
        <v>0</v>
      </c>
      <c r="J124" s="21">
        <v>0</v>
      </c>
      <c r="K124" s="22">
        <v>1693.6</v>
      </c>
      <c r="L124" s="20">
        <v>14.88</v>
      </c>
    </row>
    <row r="125" spans="1:12" ht="22.8" x14ac:dyDescent="0.3">
      <c r="A125" s="13" t="s">
        <v>177</v>
      </c>
      <c r="B125" s="9" t="s">
        <v>63</v>
      </c>
      <c r="C125" s="9" t="s">
        <v>91</v>
      </c>
      <c r="D125" s="14">
        <v>1249</v>
      </c>
      <c r="E125" s="14">
        <v>108</v>
      </c>
      <c r="F125" s="15">
        <v>442.73</v>
      </c>
      <c r="G125" s="14">
        <v>9</v>
      </c>
      <c r="H125" s="15">
        <v>2802.81</v>
      </c>
      <c r="I125" s="16">
        <v>8.6469000000000005</v>
      </c>
      <c r="J125" s="16">
        <v>8.3332999999999995</v>
      </c>
      <c r="K125" s="17">
        <v>533.07000000000005</v>
      </c>
      <c r="L125" s="15">
        <v>49.19</v>
      </c>
    </row>
    <row r="126" spans="1:12" x14ac:dyDescent="0.3">
      <c r="A126" s="18" t="s">
        <v>178</v>
      </c>
      <c r="B126" s="5" t="s">
        <v>63</v>
      </c>
      <c r="C126" s="5" t="s">
        <v>88</v>
      </c>
      <c r="D126" s="19">
        <v>6847</v>
      </c>
      <c r="E126" s="19">
        <v>340</v>
      </c>
      <c r="F126" s="20">
        <v>597.66</v>
      </c>
      <c r="G126" s="19">
        <v>23</v>
      </c>
      <c r="H126" s="20">
        <v>4428.72</v>
      </c>
      <c r="I126" s="21">
        <v>4.9657</v>
      </c>
      <c r="J126" s="21">
        <v>6.7647000000000004</v>
      </c>
      <c r="K126" s="22">
        <v>641.01</v>
      </c>
      <c r="L126" s="20">
        <v>25.99</v>
      </c>
    </row>
    <row r="127" spans="1:12" x14ac:dyDescent="0.3">
      <c r="A127" s="13" t="s">
        <v>179</v>
      </c>
      <c r="B127" s="9" t="s">
        <v>63</v>
      </c>
      <c r="C127" s="9" t="s">
        <v>67</v>
      </c>
      <c r="D127" s="14">
        <v>5986</v>
      </c>
      <c r="E127" s="14">
        <v>492</v>
      </c>
      <c r="F127" s="15">
        <v>1047.46</v>
      </c>
      <c r="G127" s="14">
        <v>30</v>
      </c>
      <c r="H127" s="15">
        <v>3792.1</v>
      </c>
      <c r="I127" s="16">
        <v>8.2192000000000007</v>
      </c>
      <c r="J127" s="16">
        <v>6.0975999999999999</v>
      </c>
      <c r="K127" s="17">
        <v>262.02999999999997</v>
      </c>
      <c r="L127" s="15">
        <v>34.92</v>
      </c>
    </row>
    <row r="128" spans="1:12" x14ac:dyDescent="0.3">
      <c r="A128" s="18" t="s">
        <v>143</v>
      </c>
      <c r="B128" s="5" t="s">
        <v>63</v>
      </c>
      <c r="C128" s="5" t="s">
        <v>71</v>
      </c>
      <c r="D128" s="19">
        <v>4612</v>
      </c>
      <c r="E128" s="19">
        <v>413</v>
      </c>
      <c r="F128" s="20">
        <v>1594.49</v>
      </c>
      <c r="G128" s="19">
        <v>0</v>
      </c>
      <c r="H128" s="20">
        <v>8034.07</v>
      </c>
      <c r="I128" s="21">
        <v>8.9549000000000003</v>
      </c>
      <c r="J128" s="21">
        <v>0</v>
      </c>
      <c r="K128" s="22">
        <v>403.86</v>
      </c>
      <c r="L128" s="20">
        <v>0</v>
      </c>
    </row>
    <row r="129" spans="1:12" ht="22.8" x14ac:dyDescent="0.3">
      <c r="A129" s="13" t="s">
        <v>180</v>
      </c>
      <c r="B129" s="9" t="s">
        <v>63</v>
      </c>
      <c r="C129" s="9" t="s">
        <v>91</v>
      </c>
      <c r="D129" s="14">
        <v>4896</v>
      </c>
      <c r="E129" s="14">
        <v>338</v>
      </c>
      <c r="F129" s="15">
        <v>1015.05</v>
      </c>
      <c r="G129" s="14">
        <v>26</v>
      </c>
      <c r="H129" s="15">
        <v>6171.04</v>
      </c>
      <c r="I129" s="16">
        <v>6.9036</v>
      </c>
      <c r="J129" s="16">
        <v>7.6923000000000004</v>
      </c>
      <c r="K129" s="17">
        <v>507.95</v>
      </c>
      <c r="L129" s="15">
        <v>39.04</v>
      </c>
    </row>
    <row r="130" spans="1:12" x14ac:dyDescent="0.3">
      <c r="A130" s="18" t="s">
        <v>181</v>
      </c>
      <c r="B130" s="5" t="s">
        <v>63</v>
      </c>
      <c r="C130" s="5" t="s">
        <v>115</v>
      </c>
      <c r="D130" s="19">
        <v>601</v>
      </c>
      <c r="E130" s="19">
        <v>23</v>
      </c>
      <c r="F130" s="20">
        <v>19.68</v>
      </c>
      <c r="G130" s="19">
        <v>1</v>
      </c>
      <c r="H130" s="20">
        <v>284.94</v>
      </c>
      <c r="I130" s="21">
        <v>3.827</v>
      </c>
      <c r="J130" s="21">
        <v>4.3478000000000003</v>
      </c>
      <c r="K130" s="22">
        <v>1347.87</v>
      </c>
      <c r="L130" s="20">
        <v>19.68</v>
      </c>
    </row>
    <row r="131" spans="1:12" x14ac:dyDescent="0.3">
      <c r="A131" s="13" t="s">
        <v>182</v>
      </c>
      <c r="B131" s="9" t="s">
        <v>63</v>
      </c>
      <c r="C131" s="9" t="s">
        <v>88</v>
      </c>
      <c r="D131" s="14">
        <v>2256</v>
      </c>
      <c r="E131" s="14">
        <v>124</v>
      </c>
      <c r="F131" s="15">
        <v>480.08</v>
      </c>
      <c r="G131" s="14">
        <v>7</v>
      </c>
      <c r="H131" s="15">
        <v>1391.12</v>
      </c>
      <c r="I131" s="16">
        <v>5.4965000000000002</v>
      </c>
      <c r="J131" s="16">
        <v>5.6452</v>
      </c>
      <c r="K131" s="17">
        <v>189.77</v>
      </c>
      <c r="L131" s="15">
        <v>68.58</v>
      </c>
    </row>
    <row r="132" spans="1:12" x14ac:dyDescent="0.3">
      <c r="A132" s="18" t="s">
        <v>183</v>
      </c>
      <c r="B132" s="5" t="s">
        <v>63</v>
      </c>
      <c r="C132" s="5" t="s">
        <v>115</v>
      </c>
      <c r="D132" s="19">
        <v>7794</v>
      </c>
      <c r="E132" s="19">
        <v>277</v>
      </c>
      <c r="F132" s="20">
        <v>1182.9100000000001</v>
      </c>
      <c r="G132" s="19">
        <v>14</v>
      </c>
      <c r="H132" s="20">
        <v>1846.44</v>
      </c>
      <c r="I132" s="21">
        <v>3.5539999999999998</v>
      </c>
      <c r="J132" s="21">
        <v>5.0541999999999998</v>
      </c>
      <c r="K132" s="22">
        <v>56.09</v>
      </c>
      <c r="L132" s="20">
        <v>84.49</v>
      </c>
    </row>
    <row r="133" spans="1:12" x14ac:dyDescent="0.3">
      <c r="A133" s="13" t="s">
        <v>184</v>
      </c>
      <c r="B133" s="9" t="s">
        <v>63</v>
      </c>
      <c r="C133" s="9" t="s">
        <v>88</v>
      </c>
      <c r="D133" s="14">
        <v>563</v>
      </c>
      <c r="E133" s="14">
        <v>42</v>
      </c>
      <c r="F133" s="15">
        <v>124.93</v>
      </c>
      <c r="G133" s="14">
        <v>1</v>
      </c>
      <c r="H133" s="15">
        <v>451.26</v>
      </c>
      <c r="I133" s="16">
        <v>7.46</v>
      </c>
      <c r="J133" s="16">
        <v>2.3809999999999998</v>
      </c>
      <c r="K133" s="17">
        <v>261.20999999999998</v>
      </c>
      <c r="L133" s="15">
        <v>124.93</v>
      </c>
    </row>
    <row r="134" spans="1:12" x14ac:dyDescent="0.3">
      <c r="A134" s="18" t="s">
        <v>185</v>
      </c>
      <c r="B134" s="5" t="s">
        <v>63</v>
      </c>
      <c r="C134" s="5" t="s">
        <v>73</v>
      </c>
      <c r="D134" s="19">
        <v>5923</v>
      </c>
      <c r="E134" s="19">
        <v>463</v>
      </c>
      <c r="F134" s="20">
        <v>1173.28</v>
      </c>
      <c r="G134" s="19">
        <v>39</v>
      </c>
      <c r="H134" s="20">
        <v>17267.63</v>
      </c>
      <c r="I134" s="21">
        <v>7.8170000000000002</v>
      </c>
      <c r="J134" s="21">
        <v>8.4232999999999993</v>
      </c>
      <c r="K134" s="22">
        <v>1371.74</v>
      </c>
      <c r="L134" s="20">
        <v>30.08</v>
      </c>
    </row>
    <row r="135" spans="1:12" x14ac:dyDescent="0.3">
      <c r="A135" s="13" t="s">
        <v>186</v>
      </c>
      <c r="B135" s="9" t="s">
        <v>63</v>
      </c>
      <c r="C135" s="9" t="s">
        <v>86</v>
      </c>
      <c r="D135" s="14">
        <v>6225</v>
      </c>
      <c r="E135" s="14">
        <v>395</v>
      </c>
      <c r="F135" s="15">
        <v>1206.8399999999999</v>
      </c>
      <c r="G135" s="14">
        <v>16</v>
      </c>
      <c r="H135" s="15">
        <v>0</v>
      </c>
      <c r="I135" s="16">
        <v>6.3453999999999997</v>
      </c>
      <c r="J135" s="16">
        <v>4.0506000000000002</v>
      </c>
      <c r="K135" s="17">
        <v>-100</v>
      </c>
      <c r="L135" s="15">
        <v>75.430000000000007</v>
      </c>
    </row>
    <row r="136" spans="1:12" x14ac:dyDescent="0.3">
      <c r="A136" s="18" t="s">
        <v>187</v>
      </c>
      <c r="B136" s="5" t="s">
        <v>63</v>
      </c>
      <c r="C136" s="5" t="s">
        <v>69</v>
      </c>
      <c r="D136" s="19">
        <v>4701</v>
      </c>
      <c r="E136" s="19">
        <v>0</v>
      </c>
      <c r="F136" s="20">
        <v>719.98</v>
      </c>
      <c r="G136" s="19">
        <v>20</v>
      </c>
      <c r="H136" s="20">
        <v>8324.0300000000007</v>
      </c>
      <c r="I136" s="21">
        <v>0</v>
      </c>
      <c r="J136" s="21">
        <v>0</v>
      </c>
      <c r="K136" s="22">
        <v>1056.1500000000001</v>
      </c>
      <c r="L136" s="20">
        <v>36</v>
      </c>
    </row>
    <row r="137" spans="1:12" x14ac:dyDescent="0.3">
      <c r="A137" s="13" t="s">
        <v>107</v>
      </c>
      <c r="B137" s="9" t="s">
        <v>63</v>
      </c>
      <c r="C137" s="9"/>
      <c r="D137" s="14">
        <v>1180</v>
      </c>
      <c r="E137" s="14">
        <v>72</v>
      </c>
      <c r="F137" s="15">
        <v>269.16000000000003</v>
      </c>
      <c r="G137" s="14">
        <v>2</v>
      </c>
      <c r="H137" s="15">
        <v>477.35</v>
      </c>
      <c r="I137" s="16">
        <v>6.1017000000000001</v>
      </c>
      <c r="J137" s="16">
        <v>2.7778</v>
      </c>
      <c r="K137" s="17">
        <v>77.349999999999994</v>
      </c>
      <c r="L137" s="15">
        <v>134.58000000000001</v>
      </c>
    </row>
    <row r="138" spans="1:12" x14ac:dyDescent="0.3">
      <c r="A138" s="18" t="s">
        <v>188</v>
      </c>
      <c r="B138" s="5" t="s">
        <v>63</v>
      </c>
      <c r="C138" s="5" t="s">
        <v>88</v>
      </c>
      <c r="D138" s="19">
        <v>7470</v>
      </c>
      <c r="E138" s="19">
        <v>548</v>
      </c>
      <c r="F138" s="20">
        <v>738.66</v>
      </c>
      <c r="G138" s="19">
        <v>22</v>
      </c>
      <c r="H138" s="20">
        <v>8469.5300000000007</v>
      </c>
      <c r="I138" s="21">
        <v>7.3360000000000003</v>
      </c>
      <c r="J138" s="21">
        <v>4.0145999999999997</v>
      </c>
      <c r="K138" s="22">
        <v>1046.6099999999999</v>
      </c>
      <c r="L138" s="20">
        <v>33.58</v>
      </c>
    </row>
    <row r="139" spans="1:12" x14ac:dyDescent="0.3">
      <c r="A139" s="13" t="s">
        <v>189</v>
      </c>
      <c r="B139" s="9" t="s">
        <v>63</v>
      </c>
      <c r="C139" s="9" t="s">
        <v>73</v>
      </c>
      <c r="D139" s="14">
        <v>1488</v>
      </c>
      <c r="E139" s="14">
        <v>98</v>
      </c>
      <c r="F139" s="15">
        <v>130.91</v>
      </c>
      <c r="G139" s="14">
        <v>9</v>
      </c>
      <c r="H139" s="15">
        <v>3361.23</v>
      </c>
      <c r="I139" s="16">
        <v>6.5860000000000003</v>
      </c>
      <c r="J139" s="16">
        <v>9.1837</v>
      </c>
      <c r="K139" s="17">
        <v>2467.59</v>
      </c>
      <c r="L139" s="15">
        <v>14.55</v>
      </c>
    </row>
    <row r="140" spans="1:12" ht="22.8" x14ac:dyDescent="0.3">
      <c r="A140" s="18" t="s">
        <v>190</v>
      </c>
      <c r="B140" s="5" t="s">
        <v>63</v>
      </c>
      <c r="C140" s="5" t="s">
        <v>91</v>
      </c>
      <c r="D140" s="19">
        <v>4304</v>
      </c>
      <c r="E140" s="19">
        <v>380</v>
      </c>
      <c r="F140" s="20">
        <v>724.63</v>
      </c>
      <c r="G140" s="19">
        <v>13</v>
      </c>
      <c r="H140" s="20">
        <v>2360.69</v>
      </c>
      <c r="I140" s="21">
        <v>8.8290000000000006</v>
      </c>
      <c r="J140" s="21">
        <v>3.4211</v>
      </c>
      <c r="K140" s="22">
        <v>225.78</v>
      </c>
      <c r="L140" s="20">
        <v>55.74</v>
      </c>
    </row>
    <row r="141" spans="1:12" x14ac:dyDescent="0.3">
      <c r="A141" s="13" t="s">
        <v>112</v>
      </c>
      <c r="B141" s="9" t="s">
        <v>63</v>
      </c>
      <c r="C141" s="9" t="s">
        <v>64</v>
      </c>
      <c r="D141" s="14">
        <v>4178</v>
      </c>
      <c r="E141" s="14">
        <v>228</v>
      </c>
      <c r="F141" s="15">
        <v>607.99</v>
      </c>
      <c r="G141" s="14">
        <v>11</v>
      </c>
      <c r="H141" s="15">
        <v>4079.47</v>
      </c>
      <c r="I141" s="16">
        <v>5.4572000000000003</v>
      </c>
      <c r="J141" s="16">
        <v>4.8246000000000002</v>
      </c>
      <c r="K141" s="17">
        <v>570.98</v>
      </c>
      <c r="L141" s="15">
        <v>55.27</v>
      </c>
    </row>
    <row r="142" spans="1:12" x14ac:dyDescent="0.3">
      <c r="A142" s="18" t="s">
        <v>191</v>
      </c>
      <c r="B142" s="5" t="s">
        <v>63</v>
      </c>
      <c r="C142" s="5" t="s">
        <v>73</v>
      </c>
      <c r="D142" s="19">
        <v>1334</v>
      </c>
      <c r="E142" s="19">
        <v>46</v>
      </c>
      <c r="F142" s="20">
        <v>148.51</v>
      </c>
      <c r="G142" s="19">
        <v>1</v>
      </c>
      <c r="H142" s="20">
        <v>362.2</v>
      </c>
      <c r="I142" s="21">
        <v>3.4483000000000001</v>
      </c>
      <c r="J142" s="21">
        <v>2.1739000000000002</v>
      </c>
      <c r="K142" s="22">
        <v>143.88999999999999</v>
      </c>
      <c r="L142" s="20">
        <v>148.51</v>
      </c>
    </row>
    <row r="143" spans="1:12" x14ac:dyDescent="0.3">
      <c r="A143" s="13" t="s">
        <v>192</v>
      </c>
      <c r="B143" s="9" t="s">
        <v>63</v>
      </c>
      <c r="C143" s="9" t="s">
        <v>86</v>
      </c>
      <c r="D143" s="14">
        <v>6625</v>
      </c>
      <c r="E143" s="14">
        <v>473</v>
      </c>
      <c r="F143" s="15">
        <v>2099.83</v>
      </c>
      <c r="G143" s="14">
        <v>20</v>
      </c>
      <c r="H143" s="15">
        <v>2542.29</v>
      </c>
      <c r="I143" s="16">
        <v>7.1395999999999997</v>
      </c>
      <c r="J143" s="16">
        <v>4.2282999999999999</v>
      </c>
      <c r="K143" s="17">
        <v>21.07</v>
      </c>
      <c r="L143" s="15">
        <v>104.99</v>
      </c>
    </row>
    <row r="144" spans="1:12" x14ac:dyDescent="0.3">
      <c r="A144" s="18" t="s">
        <v>193</v>
      </c>
      <c r="B144" s="5" t="s">
        <v>63</v>
      </c>
      <c r="C144" s="5" t="s">
        <v>73</v>
      </c>
      <c r="D144" s="19">
        <v>5243</v>
      </c>
      <c r="E144" s="19">
        <v>402</v>
      </c>
      <c r="F144" s="20">
        <v>808.61</v>
      </c>
      <c r="G144" s="19">
        <v>20</v>
      </c>
      <c r="H144" s="20">
        <v>0</v>
      </c>
      <c r="I144" s="21">
        <v>7.6673999999999998</v>
      </c>
      <c r="J144" s="21">
        <v>4.9751000000000003</v>
      </c>
      <c r="K144" s="22">
        <v>-100</v>
      </c>
      <c r="L144" s="20">
        <v>40.43</v>
      </c>
    </row>
    <row r="145" spans="1:12" x14ac:dyDescent="0.3">
      <c r="A145" s="13" t="s">
        <v>153</v>
      </c>
      <c r="B145" s="9" t="s">
        <v>63</v>
      </c>
      <c r="C145" s="9" t="s">
        <v>83</v>
      </c>
      <c r="D145" s="14">
        <v>-7512</v>
      </c>
      <c r="E145" s="14">
        <v>322</v>
      </c>
      <c r="F145" s="15">
        <v>1085.08</v>
      </c>
      <c r="G145" s="14">
        <v>23</v>
      </c>
      <c r="H145" s="15">
        <v>7858.33</v>
      </c>
      <c r="I145" s="16">
        <v>0</v>
      </c>
      <c r="J145" s="16">
        <v>7.1429</v>
      </c>
      <c r="K145" s="17">
        <v>624.22</v>
      </c>
      <c r="L145" s="15">
        <v>47.18</v>
      </c>
    </row>
    <row r="146" spans="1:12" x14ac:dyDescent="0.3">
      <c r="A146" s="18" t="s">
        <v>194</v>
      </c>
      <c r="B146" s="5" t="s">
        <v>63</v>
      </c>
      <c r="C146" s="5" t="s">
        <v>88</v>
      </c>
      <c r="D146" s="19">
        <v>3091</v>
      </c>
      <c r="E146" s="19">
        <v>232</v>
      </c>
      <c r="F146" s="20">
        <v>951.98</v>
      </c>
      <c r="G146" s="19">
        <v>19</v>
      </c>
      <c r="H146" s="20">
        <v>8556.3700000000008</v>
      </c>
      <c r="I146" s="21">
        <v>7.5057</v>
      </c>
      <c r="J146" s="21">
        <v>8.1897000000000002</v>
      </c>
      <c r="K146" s="22">
        <v>798.8</v>
      </c>
      <c r="L146" s="20">
        <v>50.1</v>
      </c>
    </row>
    <row r="147" spans="1:12" x14ac:dyDescent="0.3">
      <c r="A147" s="13" t="s">
        <v>195</v>
      </c>
      <c r="B147" s="9" t="s">
        <v>63</v>
      </c>
      <c r="C147" s="9" t="s">
        <v>73</v>
      </c>
      <c r="D147" s="14">
        <v>2308</v>
      </c>
      <c r="E147" s="14">
        <v>126</v>
      </c>
      <c r="F147" s="15">
        <v>393.51</v>
      </c>
      <c r="G147" s="14">
        <v>10</v>
      </c>
      <c r="H147" s="15">
        <v>3905.09</v>
      </c>
      <c r="I147" s="16">
        <v>5.4592999999999998</v>
      </c>
      <c r="J147" s="16">
        <v>7.9364999999999997</v>
      </c>
      <c r="K147" s="17">
        <v>892.37</v>
      </c>
      <c r="L147" s="15">
        <v>39.35</v>
      </c>
    </row>
    <row r="148" spans="1:12" x14ac:dyDescent="0.3">
      <c r="A148" s="18" t="s">
        <v>196</v>
      </c>
      <c r="B148" s="5" t="s">
        <v>63</v>
      </c>
      <c r="C148" s="5" t="s">
        <v>86</v>
      </c>
      <c r="D148" s="19">
        <v>2654</v>
      </c>
      <c r="E148" s="19">
        <v>232</v>
      </c>
      <c r="F148" s="20">
        <v>428.29</v>
      </c>
      <c r="G148" s="19">
        <v>10</v>
      </c>
      <c r="H148" s="20">
        <v>2677.02</v>
      </c>
      <c r="I148" s="21">
        <v>8.7415000000000003</v>
      </c>
      <c r="J148" s="21">
        <v>4.3102999999999998</v>
      </c>
      <c r="K148" s="22">
        <v>525.04999999999995</v>
      </c>
      <c r="L148" s="20">
        <v>42.83</v>
      </c>
    </row>
    <row r="149" spans="1:12" x14ac:dyDescent="0.3">
      <c r="A149" s="13" t="s">
        <v>98</v>
      </c>
      <c r="B149" s="9" t="s">
        <v>63</v>
      </c>
      <c r="C149" s="9"/>
      <c r="D149" s="14">
        <v>4851</v>
      </c>
      <c r="E149" s="14">
        <v>263</v>
      </c>
      <c r="F149" s="15">
        <v>727.35</v>
      </c>
      <c r="G149" s="14">
        <v>20</v>
      </c>
      <c r="H149" s="15">
        <v>7745.23</v>
      </c>
      <c r="I149" s="16">
        <v>5.4215999999999998</v>
      </c>
      <c r="J149" s="16">
        <v>7.6045999999999996</v>
      </c>
      <c r="K149" s="17">
        <v>964.86</v>
      </c>
      <c r="L149" s="15">
        <v>36.369999999999997</v>
      </c>
    </row>
    <row r="150" spans="1:12" ht="22.8" x14ac:dyDescent="0.3">
      <c r="A150" s="18" t="s">
        <v>197</v>
      </c>
      <c r="B150" s="5" t="s">
        <v>63</v>
      </c>
      <c r="C150" s="5" t="s">
        <v>91</v>
      </c>
      <c r="D150" s="19">
        <v>4506</v>
      </c>
      <c r="E150" s="19">
        <v>313</v>
      </c>
      <c r="F150" s="20">
        <v>647.22</v>
      </c>
      <c r="G150" s="19">
        <v>15</v>
      </c>
      <c r="H150" s="20">
        <v>6031.56</v>
      </c>
      <c r="I150" s="21">
        <v>6.9462999999999999</v>
      </c>
      <c r="J150" s="21">
        <v>4.7923</v>
      </c>
      <c r="K150" s="22">
        <v>831.92</v>
      </c>
      <c r="L150" s="20">
        <v>43.15</v>
      </c>
    </row>
    <row r="151" spans="1:12" x14ac:dyDescent="0.3">
      <c r="A151" s="13" t="s">
        <v>198</v>
      </c>
      <c r="B151" s="9" t="s">
        <v>63</v>
      </c>
      <c r="C151" s="9" t="s">
        <v>88</v>
      </c>
      <c r="D151" s="14">
        <v>5514</v>
      </c>
      <c r="E151" s="14">
        <v>0</v>
      </c>
      <c r="F151" s="15">
        <v>1307.99</v>
      </c>
      <c r="G151" s="14">
        <v>20</v>
      </c>
      <c r="H151" s="15">
        <v>4077.51</v>
      </c>
      <c r="I151" s="16">
        <v>0</v>
      </c>
      <c r="J151" s="16">
        <v>0</v>
      </c>
      <c r="K151" s="17">
        <v>211.74</v>
      </c>
      <c r="L151" s="15">
        <v>65.400000000000006</v>
      </c>
    </row>
    <row r="152" spans="1:12" x14ac:dyDescent="0.3">
      <c r="A152" s="18" t="s">
        <v>199</v>
      </c>
      <c r="B152" s="5" t="s">
        <v>63</v>
      </c>
      <c r="C152" s="5" t="s">
        <v>86</v>
      </c>
      <c r="D152" s="19">
        <v>1544</v>
      </c>
      <c r="E152" s="19">
        <v>137</v>
      </c>
      <c r="F152" s="20">
        <v>546.13</v>
      </c>
      <c r="G152" s="19">
        <v>5</v>
      </c>
      <c r="H152" s="20">
        <v>0</v>
      </c>
      <c r="I152" s="21">
        <v>8.8731000000000009</v>
      </c>
      <c r="J152" s="21">
        <v>3.6496</v>
      </c>
      <c r="K152" s="22">
        <v>-100</v>
      </c>
      <c r="L152" s="20">
        <v>109.23</v>
      </c>
    </row>
    <row r="153" spans="1:12" x14ac:dyDescent="0.3">
      <c r="A153" s="13" t="s">
        <v>200</v>
      </c>
      <c r="B153" s="9" t="s">
        <v>63</v>
      </c>
      <c r="C153" s="9" t="s">
        <v>115</v>
      </c>
      <c r="D153" s="14">
        <v>5851</v>
      </c>
      <c r="E153" s="14">
        <v>323</v>
      </c>
      <c r="F153" s="15">
        <v>1330.83</v>
      </c>
      <c r="G153" s="14">
        <v>22</v>
      </c>
      <c r="H153" s="15">
        <v>4757.82</v>
      </c>
      <c r="I153" s="16">
        <v>5.5204000000000004</v>
      </c>
      <c r="J153" s="16">
        <v>6.8110999999999997</v>
      </c>
      <c r="K153" s="17">
        <v>257.51</v>
      </c>
      <c r="L153" s="15">
        <v>60.49</v>
      </c>
    </row>
    <row r="154" spans="1:12" ht="22.8" x14ac:dyDescent="0.3">
      <c r="A154" s="18" t="s">
        <v>201</v>
      </c>
      <c r="B154" s="5" t="s">
        <v>63</v>
      </c>
      <c r="C154" s="5" t="s">
        <v>91</v>
      </c>
      <c r="D154" s="19">
        <v>6693</v>
      </c>
      <c r="E154" s="19">
        <v>504</v>
      </c>
      <c r="F154" s="20">
        <v>899.68</v>
      </c>
      <c r="G154" s="19">
        <v>21</v>
      </c>
      <c r="H154" s="20">
        <v>6573.07</v>
      </c>
      <c r="I154" s="21">
        <v>7.5303000000000004</v>
      </c>
      <c r="J154" s="21">
        <v>4.1666999999999996</v>
      </c>
      <c r="K154" s="22">
        <v>630.6</v>
      </c>
      <c r="L154" s="20">
        <v>42.84</v>
      </c>
    </row>
    <row r="155" spans="1:12" x14ac:dyDescent="0.3">
      <c r="A155" s="13" t="s">
        <v>127</v>
      </c>
      <c r="B155" s="9" t="s">
        <v>63</v>
      </c>
      <c r="C155" s="9" t="s">
        <v>69</v>
      </c>
      <c r="D155" s="14">
        <v>4172</v>
      </c>
      <c r="E155" s="14">
        <v>205</v>
      </c>
      <c r="F155" s="15">
        <v>463.78</v>
      </c>
      <c r="G155" s="14">
        <v>18</v>
      </c>
      <c r="H155" s="15">
        <v>7623.11</v>
      </c>
      <c r="I155" s="16">
        <v>4.9137000000000004</v>
      </c>
      <c r="J155" s="16">
        <v>8.7805</v>
      </c>
      <c r="K155" s="17">
        <v>1543.69</v>
      </c>
      <c r="L155" s="15">
        <v>25.77</v>
      </c>
    </row>
    <row r="156" spans="1:12" x14ac:dyDescent="0.3">
      <c r="A156" s="18" t="s">
        <v>202</v>
      </c>
      <c r="B156" s="5" t="s">
        <v>63</v>
      </c>
      <c r="C156" s="5" t="s">
        <v>71</v>
      </c>
      <c r="D156" s="19">
        <v>0</v>
      </c>
      <c r="E156" s="19">
        <v>355</v>
      </c>
      <c r="F156" s="20">
        <v>776.07</v>
      </c>
      <c r="G156" s="19">
        <v>23</v>
      </c>
      <c r="H156" s="20">
        <v>7673.58</v>
      </c>
      <c r="I156" s="21">
        <v>0</v>
      </c>
      <c r="J156" s="21">
        <v>6.4789000000000003</v>
      </c>
      <c r="K156" s="22">
        <v>888.77</v>
      </c>
      <c r="L156" s="20">
        <v>33.74</v>
      </c>
    </row>
    <row r="157" spans="1:12" x14ac:dyDescent="0.3">
      <c r="A157" s="13" t="s">
        <v>156</v>
      </c>
      <c r="B157" s="9" t="s">
        <v>63</v>
      </c>
      <c r="C157" s="9" t="s">
        <v>88</v>
      </c>
      <c r="D157" s="14">
        <v>0</v>
      </c>
      <c r="E157" s="14">
        <v>365</v>
      </c>
      <c r="F157" s="15">
        <v>588.02</v>
      </c>
      <c r="G157" s="14">
        <v>11</v>
      </c>
      <c r="H157" s="15">
        <v>1420.72</v>
      </c>
      <c r="I157" s="16">
        <v>0</v>
      </c>
      <c r="J157" s="16">
        <v>3.0137</v>
      </c>
      <c r="K157" s="17">
        <v>141.61000000000001</v>
      </c>
      <c r="L157" s="15">
        <v>53.46</v>
      </c>
    </row>
    <row r="158" spans="1:12" x14ac:dyDescent="0.3">
      <c r="A158" s="18" t="s">
        <v>197</v>
      </c>
      <c r="B158" s="5" t="s">
        <v>63</v>
      </c>
      <c r="C158" s="5" t="s">
        <v>73</v>
      </c>
      <c r="D158" s="19">
        <v>5518</v>
      </c>
      <c r="E158" s="19">
        <v>187</v>
      </c>
      <c r="F158" s="20">
        <v>541.78</v>
      </c>
      <c r="G158" s="19">
        <v>18</v>
      </c>
      <c r="H158" s="20">
        <v>5931.09</v>
      </c>
      <c r="I158" s="21">
        <v>3.3889</v>
      </c>
      <c r="J158" s="21">
        <v>9.6257000000000001</v>
      </c>
      <c r="K158" s="22">
        <v>994.74</v>
      </c>
      <c r="L158" s="20">
        <v>30.1</v>
      </c>
    </row>
    <row r="159" spans="1:12" x14ac:dyDescent="0.3">
      <c r="A159" s="13" t="s">
        <v>203</v>
      </c>
      <c r="B159" s="9" t="s">
        <v>63</v>
      </c>
      <c r="C159" s="9" t="s">
        <v>71</v>
      </c>
      <c r="D159" s="14">
        <v>3493</v>
      </c>
      <c r="E159" s="14">
        <v>257</v>
      </c>
      <c r="F159" s="15">
        <v>269.38</v>
      </c>
      <c r="G159" s="14">
        <v>18</v>
      </c>
      <c r="H159" s="15">
        <v>3663.09</v>
      </c>
      <c r="I159" s="16">
        <v>7.3575999999999997</v>
      </c>
      <c r="J159" s="16">
        <v>7.0038999999999998</v>
      </c>
      <c r="K159" s="17">
        <v>1259.82</v>
      </c>
      <c r="L159" s="15">
        <v>14.97</v>
      </c>
    </row>
    <row r="160" spans="1:12" x14ac:dyDescent="0.3">
      <c r="A160" s="18" t="s">
        <v>204</v>
      </c>
      <c r="B160" s="5" t="s">
        <v>63</v>
      </c>
      <c r="C160" s="5" t="s">
        <v>67</v>
      </c>
      <c r="D160" s="19">
        <v>731</v>
      </c>
      <c r="E160" s="19">
        <v>57</v>
      </c>
      <c r="F160" s="20">
        <v>0</v>
      </c>
      <c r="G160" s="19">
        <v>0</v>
      </c>
      <c r="H160" s="20">
        <v>429.5</v>
      </c>
      <c r="I160" s="21">
        <v>7.7975000000000003</v>
      </c>
      <c r="J160" s="21">
        <v>0</v>
      </c>
      <c r="K160" s="22">
        <v>0</v>
      </c>
      <c r="L160" s="20">
        <v>0</v>
      </c>
    </row>
    <row r="161" spans="1:12" x14ac:dyDescent="0.3">
      <c r="A161" s="13" t="s">
        <v>205</v>
      </c>
      <c r="B161" s="9" t="s">
        <v>63</v>
      </c>
      <c r="C161" s="9" t="s">
        <v>86</v>
      </c>
      <c r="D161" s="14">
        <v>793</v>
      </c>
      <c r="E161" s="14">
        <v>66</v>
      </c>
      <c r="F161" s="15">
        <v>275.75</v>
      </c>
      <c r="G161" s="14">
        <v>0</v>
      </c>
      <c r="H161" s="15">
        <v>549.85</v>
      </c>
      <c r="I161" s="16">
        <v>8.3228000000000009</v>
      </c>
      <c r="J161" s="16">
        <v>0</v>
      </c>
      <c r="K161" s="17">
        <v>99.4</v>
      </c>
      <c r="L161" s="15">
        <v>0</v>
      </c>
    </row>
    <row r="162" spans="1:12" x14ac:dyDescent="0.3">
      <c r="A162" s="18" t="s">
        <v>206</v>
      </c>
      <c r="B162" s="5" t="s">
        <v>63</v>
      </c>
      <c r="C162" s="5" t="s">
        <v>86</v>
      </c>
      <c r="D162" s="19">
        <v>6748</v>
      </c>
      <c r="E162" s="19">
        <v>0</v>
      </c>
      <c r="F162" s="20">
        <v>0</v>
      </c>
      <c r="G162" s="19">
        <v>20</v>
      </c>
      <c r="H162" s="20">
        <v>8882.44</v>
      </c>
      <c r="I162" s="21">
        <v>0</v>
      </c>
      <c r="J162" s="21">
        <v>0</v>
      </c>
      <c r="K162" s="22">
        <v>0</v>
      </c>
      <c r="L162" s="20">
        <v>0</v>
      </c>
    </row>
    <row r="163" spans="1:12" x14ac:dyDescent="0.3">
      <c r="A163" s="13" t="s">
        <v>207</v>
      </c>
      <c r="B163" s="9" t="s">
        <v>63</v>
      </c>
      <c r="C163" s="9" t="s">
        <v>73</v>
      </c>
      <c r="D163" s="14">
        <v>6039</v>
      </c>
      <c r="E163" s="14">
        <v>224</v>
      </c>
      <c r="F163" s="15">
        <v>574.41999999999996</v>
      </c>
      <c r="G163" s="14">
        <v>22</v>
      </c>
      <c r="H163" s="15">
        <v>4231.46</v>
      </c>
      <c r="I163" s="16">
        <v>3.7092000000000001</v>
      </c>
      <c r="J163" s="16">
        <v>9.8214000000000006</v>
      </c>
      <c r="K163" s="17">
        <v>636.65</v>
      </c>
      <c r="L163" s="15">
        <v>26.11</v>
      </c>
    </row>
    <row r="164" spans="1:12" x14ac:dyDescent="0.3">
      <c r="A164" s="18" t="s">
        <v>208</v>
      </c>
      <c r="B164" s="5" t="s">
        <v>63</v>
      </c>
      <c r="C164" s="5" t="s">
        <v>73</v>
      </c>
      <c r="D164" s="19">
        <v>7085</v>
      </c>
      <c r="E164" s="19">
        <v>443</v>
      </c>
      <c r="F164" s="20">
        <v>746.15</v>
      </c>
      <c r="G164" s="19">
        <v>44</v>
      </c>
      <c r="H164" s="20">
        <v>7129.99</v>
      </c>
      <c r="I164" s="21">
        <v>6.2526000000000002</v>
      </c>
      <c r="J164" s="21">
        <v>9.9322999999999997</v>
      </c>
      <c r="K164" s="22">
        <v>855.57</v>
      </c>
      <c r="L164" s="20">
        <v>16.96</v>
      </c>
    </row>
    <row r="165" spans="1:12" x14ac:dyDescent="0.3">
      <c r="A165" s="13" t="s">
        <v>209</v>
      </c>
      <c r="B165" s="9" t="s">
        <v>63</v>
      </c>
      <c r="C165" s="9" t="s">
        <v>115</v>
      </c>
      <c r="D165" s="14">
        <v>6945</v>
      </c>
      <c r="E165" s="14">
        <v>587</v>
      </c>
      <c r="F165" s="15">
        <v>1003.23</v>
      </c>
      <c r="G165" s="14">
        <v>33</v>
      </c>
      <c r="H165" s="15">
        <v>7612.07</v>
      </c>
      <c r="I165" s="16">
        <v>8.4520999999999997</v>
      </c>
      <c r="J165" s="16">
        <v>5.6218000000000004</v>
      </c>
      <c r="K165" s="17">
        <v>658.76</v>
      </c>
      <c r="L165" s="15">
        <v>30.4</v>
      </c>
    </row>
    <row r="166" spans="1:12" x14ac:dyDescent="0.3">
      <c r="A166" s="18" t="s">
        <v>209</v>
      </c>
      <c r="B166" s="5" t="s">
        <v>63</v>
      </c>
      <c r="C166" s="5" t="s">
        <v>86</v>
      </c>
      <c r="D166" s="19">
        <v>4528</v>
      </c>
      <c r="E166" s="19">
        <v>274</v>
      </c>
      <c r="F166" s="20">
        <v>926.77</v>
      </c>
      <c r="G166" s="19">
        <v>27</v>
      </c>
      <c r="H166" s="20">
        <v>10238.98</v>
      </c>
      <c r="I166" s="21">
        <v>6.0511999999999997</v>
      </c>
      <c r="J166" s="21">
        <v>9.8539999999999992</v>
      </c>
      <c r="K166" s="22">
        <v>1004.8</v>
      </c>
      <c r="L166" s="20">
        <v>34.32</v>
      </c>
    </row>
    <row r="167" spans="1:12" x14ac:dyDescent="0.3">
      <c r="A167" s="13" t="s">
        <v>84</v>
      </c>
      <c r="B167" s="9" t="s">
        <v>63</v>
      </c>
      <c r="C167" s="9" t="s">
        <v>71</v>
      </c>
      <c r="D167" s="14">
        <v>7591</v>
      </c>
      <c r="E167" s="14">
        <v>0</v>
      </c>
      <c r="F167" s="15">
        <v>936.49</v>
      </c>
      <c r="G167" s="14">
        <v>32</v>
      </c>
      <c r="H167" s="15">
        <v>13659.1</v>
      </c>
      <c r="I167" s="16">
        <v>0</v>
      </c>
      <c r="J167" s="16">
        <v>0</v>
      </c>
      <c r="K167" s="17">
        <v>1358.54</v>
      </c>
      <c r="L167" s="15">
        <v>29.27</v>
      </c>
    </row>
    <row r="168" spans="1:12" x14ac:dyDescent="0.3">
      <c r="A168" s="18" t="s">
        <v>210</v>
      </c>
      <c r="B168" s="5" t="s">
        <v>63</v>
      </c>
      <c r="C168" s="5" t="s">
        <v>67</v>
      </c>
      <c r="D168" s="19">
        <v>3781</v>
      </c>
      <c r="E168" s="19">
        <v>252</v>
      </c>
      <c r="F168" s="20">
        <v>842.53</v>
      </c>
      <c r="G168" s="19">
        <v>25</v>
      </c>
      <c r="H168" s="20">
        <v>6531.49</v>
      </c>
      <c r="I168" s="21">
        <v>6.6649000000000003</v>
      </c>
      <c r="J168" s="21">
        <v>9.9206000000000003</v>
      </c>
      <c r="K168" s="22">
        <v>675.22</v>
      </c>
      <c r="L168" s="20">
        <v>33.700000000000003</v>
      </c>
    </row>
    <row r="169" spans="1:12" x14ac:dyDescent="0.3">
      <c r="A169" s="13" t="s">
        <v>205</v>
      </c>
      <c r="B169" s="9" t="s">
        <v>63</v>
      </c>
      <c r="C169" s="9" t="s">
        <v>83</v>
      </c>
      <c r="D169" s="14">
        <v>3788</v>
      </c>
      <c r="E169" s="14">
        <v>318</v>
      </c>
      <c r="F169" s="15">
        <v>271.14</v>
      </c>
      <c r="G169" s="14">
        <v>26</v>
      </c>
      <c r="H169" s="15">
        <v>12166.65</v>
      </c>
      <c r="I169" s="16">
        <v>8.3948999999999998</v>
      </c>
      <c r="J169" s="16">
        <v>8.1760999999999999</v>
      </c>
      <c r="K169" s="17">
        <v>4387.22</v>
      </c>
      <c r="L169" s="15">
        <v>10.43</v>
      </c>
    </row>
    <row r="170" spans="1:12" x14ac:dyDescent="0.3">
      <c r="A170" s="18" t="s">
        <v>211</v>
      </c>
      <c r="B170" s="5" t="s">
        <v>63</v>
      </c>
      <c r="C170" s="5" t="s">
        <v>88</v>
      </c>
      <c r="D170" s="19">
        <v>6934</v>
      </c>
      <c r="E170" s="19">
        <v>372</v>
      </c>
      <c r="F170" s="20">
        <v>670.96</v>
      </c>
      <c r="G170" s="19">
        <v>11</v>
      </c>
      <c r="H170" s="20">
        <v>2468.5300000000002</v>
      </c>
      <c r="I170" s="21">
        <v>5.3648999999999996</v>
      </c>
      <c r="J170" s="21">
        <v>2.9569999999999999</v>
      </c>
      <c r="K170" s="22">
        <v>267.91000000000003</v>
      </c>
      <c r="L170" s="20">
        <v>61</v>
      </c>
    </row>
    <row r="171" spans="1:12" ht="22.8" x14ac:dyDescent="0.3">
      <c r="A171" s="13" t="s">
        <v>212</v>
      </c>
      <c r="B171" s="9" t="s">
        <v>63</v>
      </c>
      <c r="C171" s="9" t="s">
        <v>91</v>
      </c>
      <c r="D171" s="14">
        <v>1988</v>
      </c>
      <c r="E171" s="14">
        <v>128</v>
      </c>
      <c r="F171" s="15">
        <v>230.99</v>
      </c>
      <c r="G171" s="14">
        <v>6</v>
      </c>
      <c r="H171" s="15">
        <v>2776.41</v>
      </c>
      <c r="I171" s="16">
        <v>6.4386000000000001</v>
      </c>
      <c r="J171" s="16">
        <v>4.6875</v>
      </c>
      <c r="K171" s="17">
        <v>1101.96</v>
      </c>
      <c r="L171" s="15">
        <v>38.5</v>
      </c>
    </row>
    <row r="172" spans="1:12" x14ac:dyDescent="0.3">
      <c r="A172" s="18" t="s">
        <v>213</v>
      </c>
      <c r="B172" s="5" t="s">
        <v>63</v>
      </c>
      <c r="C172" s="5" t="s">
        <v>86</v>
      </c>
      <c r="D172" s="19">
        <v>7355</v>
      </c>
      <c r="E172" s="19">
        <v>638</v>
      </c>
      <c r="F172" s="20">
        <v>1541.53</v>
      </c>
      <c r="G172" s="19">
        <v>52</v>
      </c>
      <c r="H172" s="20">
        <v>9217.25</v>
      </c>
      <c r="I172" s="21">
        <v>8.6744000000000003</v>
      </c>
      <c r="J172" s="21">
        <v>8.1504999999999992</v>
      </c>
      <c r="K172" s="22">
        <v>497.93</v>
      </c>
      <c r="L172" s="20">
        <v>29.64</v>
      </c>
    </row>
    <row r="173" spans="1:12" x14ac:dyDescent="0.3">
      <c r="A173" s="13" t="s">
        <v>214</v>
      </c>
      <c r="B173" s="9" t="s">
        <v>63</v>
      </c>
      <c r="C173" s="9" t="s">
        <v>67</v>
      </c>
      <c r="D173" s="14">
        <v>5569</v>
      </c>
      <c r="E173" s="14">
        <v>425</v>
      </c>
      <c r="F173" s="15">
        <v>1685.57</v>
      </c>
      <c r="G173" s="14">
        <v>26</v>
      </c>
      <c r="H173" s="15">
        <v>0</v>
      </c>
      <c r="I173" s="16">
        <v>7.6315</v>
      </c>
      <c r="J173" s="16">
        <v>6.1176000000000004</v>
      </c>
      <c r="K173" s="17">
        <v>-100</v>
      </c>
      <c r="L173" s="15">
        <v>64.83</v>
      </c>
    </row>
    <row r="174" spans="1:12" x14ac:dyDescent="0.3">
      <c r="A174" s="18" t="s">
        <v>215</v>
      </c>
      <c r="B174" s="5" t="s">
        <v>63</v>
      </c>
      <c r="C174" s="5" t="s">
        <v>64</v>
      </c>
      <c r="D174" s="19">
        <v>4210</v>
      </c>
      <c r="E174" s="19">
        <v>184</v>
      </c>
      <c r="F174" s="20">
        <v>647.62</v>
      </c>
      <c r="G174" s="19">
        <v>10</v>
      </c>
      <c r="H174" s="20">
        <v>1795.19</v>
      </c>
      <c r="I174" s="21">
        <v>4.3704999999999998</v>
      </c>
      <c r="J174" s="21">
        <v>5.4348000000000001</v>
      </c>
      <c r="K174" s="22">
        <v>177.2</v>
      </c>
      <c r="L174" s="20">
        <v>64.760000000000005</v>
      </c>
    </row>
    <row r="175" spans="1:12" x14ac:dyDescent="0.3">
      <c r="A175" s="13" t="s">
        <v>216</v>
      </c>
      <c r="B175" s="9" t="s">
        <v>63</v>
      </c>
      <c r="C175" s="9" t="s">
        <v>83</v>
      </c>
      <c r="D175" s="14">
        <v>5800</v>
      </c>
      <c r="E175" s="14">
        <v>453</v>
      </c>
      <c r="F175" s="15">
        <v>943.19</v>
      </c>
      <c r="G175" s="14">
        <v>23</v>
      </c>
      <c r="H175" s="15">
        <v>7388.72</v>
      </c>
      <c r="I175" s="16">
        <v>7.8102999999999998</v>
      </c>
      <c r="J175" s="16">
        <v>5.0773000000000001</v>
      </c>
      <c r="K175" s="17">
        <v>683.38</v>
      </c>
      <c r="L175" s="15">
        <v>41.01</v>
      </c>
    </row>
    <row r="176" spans="1:12" x14ac:dyDescent="0.3">
      <c r="A176" s="18" t="s">
        <v>217</v>
      </c>
      <c r="B176" s="5" t="s">
        <v>63</v>
      </c>
      <c r="C176" s="5" t="s">
        <v>83</v>
      </c>
      <c r="D176" s="19">
        <v>3007</v>
      </c>
      <c r="E176" s="19">
        <v>244</v>
      </c>
      <c r="F176" s="20">
        <v>294.56</v>
      </c>
      <c r="G176" s="19">
        <v>21</v>
      </c>
      <c r="H176" s="20">
        <v>4973.3500000000004</v>
      </c>
      <c r="I176" s="21">
        <v>8.1143999999999998</v>
      </c>
      <c r="J176" s="21">
        <v>8.6066000000000003</v>
      </c>
      <c r="K176" s="22">
        <v>1588.4</v>
      </c>
      <c r="L176" s="20">
        <v>14.03</v>
      </c>
    </row>
    <row r="177" spans="1:12" ht="22.8" x14ac:dyDescent="0.3">
      <c r="A177" s="13" t="s">
        <v>218</v>
      </c>
      <c r="B177" s="9" t="s">
        <v>63</v>
      </c>
      <c r="C177" s="9" t="s">
        <v>91</v>
      </c>
      <c r="D177" s="14">
        <v>4354</v>
      </c>
      <c r="E177" s="14">
        <v>263</v>
      </c>
      <c r="F177" s="15">
        <v>703.07</v>
      </c>
      <c r="G177" s="14">
        <v>25</v>
      </c>
      <c r="H177" s="15">
        <v>10218.51</v>
      </c>
      <c r="I177" s="16">
        <v>6.0404</v>
      </c>
      <c r="J177" s="16">
        <v>9.5056999999999992</v>
      </c>
      <c r="K177" s="17">
        <v>1353.41</v>
      </c>
      <c r="L177" s="15">
        <v>28.12</v>
      </c>
    </row>
    <row r="178" spans="1:12" x14ac:dyDescent="0.3">
      <c r="A178" s="18" t="s">
        <v>76</v>
      </c>
      <c r="B178" s="5" t="s">
        <v>63</v>
      </c>
      <c r="C178" s="5" t="s">
        <v>83</v>
      </c>
      <c r="D178" s="19">
        <v>2806</v>
      </c>
      <c r="E178" s="19">
        <v>242</v>
      </c>
      <c r="F178" s="20">
        <v>1058.3800000000001</v>
      </c>
      <c r="G178" s="19">
        <v>9</v>
      </c>
      <c r="H178" s="20">
        <v>3844.73</v>
      </c>
      <c r="I178" s="21">
        <v>8.6243999999999996</v>
      </c>
      <c r="J178" s="21">
        <v>3.7189999999999999</v>
      </c>
      <c r="K178" s="22">
        <v>263.27</v>
      </c>
      <c r="L178" s="20">
        <v>117.6</v>
      </c>
    </row>
    <row r="179" spans="1:12" x14ac:dyDescent="0.3">
      <c r="A179" s="13" t="s">
        <v>219</v>
      </c>
      <c r="B179" s="9" t="s">
        <v>63</v>
      </c>
      <c r="C179" s="9" t="s">
        <v>73</v>
      </c>
      <c r="D179" s="14">
        <v>6141</v>
      </c>
      <c r="E179" s="14">
        <v>241</v>
      </c>
      <c r="F179" s="15">
        <v>264.16000000000003</v>
      </c>
      <c r="G179" s="14">
        <v>19</v>
      </c>
      <c r="H179" s="15">
        <v>8912.92</v>
      </c>
      <c r="I179" s="16">
        <v>3.9243999999999999</v>
      </c>
      <c r="J179" s="16">
        <v>7.8837999999999999</v>
      </c>
      <c r="K179" s="17">
        <v>3274.06</v>
      </c>
      <c r="L179" s="15">
        <v>13.9</v>
      </c>
    </row>
    <row r="180" spans="1:12" ht="22.8" x14ac:dyDescent="0.3">
      <c r="A180" s="18" t="s">
        <v>220</v>
      </c>
      <c r="B180" s="5" t="s">
        <v>63</v>
      </c>
      <c r="C180" s="5" t="s">
        <v>91</v>
      </c>
      <c r="D180" s="19">
        <v>6553</v>
      </c>
      <c r="E180" s="19">
        <v>297</v>
      </c>
      <c r="F180" s="20">
        <v>1067.24</v>
      </c>
      <c r="G180" s="19">
        <v>17</v>
      </c>
      <c r="H180" s="20">
        <v>4528.8900000000003</v>
      </c>
      <c r="I180" s="21">
        <v>4.5323000000000002</v>
      </c>
      <c r="J180" s="21">
        <v>5.7239000000000004</v>
      </c>
      <c r="K180" s="22">
        <v>324.36</v>
      </c>
      <c r="L180" s="20">
        <v>62.78</v>
      </c>
    </row>
    <row r="181" spans="1:12" x14ac:dyDescent="0.3">
      <c r="A181" s="13" t="s">
        <v>221</v>
      </c>
      <c r="B181" s="9" t="s">
        <v>63</v>
      </c>
      <c r="C181" s="9" t="s">
        <v>64</v>
      </c>
      <c r="D181" s="14">
        <v>2167</v>
      </c>
      <c r="E181" s="14">
        <v>131</v>
      </c>
      <c r="F181" s="15">
        <v>272.99</v>
      </c>
      <c r="G181" s="14">
        <v>5</v>
      </c>
      <c r="H181" s="15">
        <v>1923.47</v>
      </c>
      <c r="I181" s="16">
        <v>6.0452000000000004</v>
      </c>
      <c r="J181" s="16">
        <v>3.8168000000000002</v>
      </c>
      <c r="K181" s="17">
        <v>604.59</v>
      </c>
      <c r="L181" s="15">
        <v>54.6</v>
      </c>
    </row>
    <row r="182" spans="1:12" x14ac:dyDescent="0.3">
      <c r="A182" s="18" t="s">
        <v>222</v>
      </c>
      <c r="B182" s="5" t="s">
        <v>63</v>
      </c>
      <c r="C182" s="5" t="s">
        <v>69</v>
      </c>
      <c r="D182" s="19">
        <v>2364</v>
      </c>
      <c r="E182" s="19">
        <v>94</v>
      </c>
      <c r="F182" s="20">
        <v>82.53</v>
      </c>
      <c r="G182" s="19">
        <v>7</v>
      </c>
      <c r="H182" s="20">
        <v>1622.64</v>
      </c>
      <c r="I182" s="21">
        <v>3.9763000000000002</v>
      </c>
      <c r="J182" s="21">
        <v>7.4467999999999996</v>
      </c>
      <c r="K182" s="22">
        <v>1866.12</v>
      </c>
      <c r="L182" s="20">
        <v>11.79</v>
      </c>
    </row>
    <row r="183" spans="1:12" x14ac:dyDescent="0.3">
      <c r="A183" s="13" t="s">
        <v>150</v>
      </c>
      <c r="B183" s="9" t="s">
        <v>63</v>
      </c>
      <c r="C183" s="9" t="s">
        <v>67</v>
      </c>
      <c r="D183" s="14">
        <v>6207</v>
      </c>
      <c r="E183" s="14">
        <v>440</v>
      </c>
      <c r="F183" s="15">
        <v>843.08</v>
      </c>
      <c r="G183" s="14">
        <v>35</v>
      </c>
      <c r="H183" s="15">
        <v>6312.27</v>
      </c>
      <c r="I183" s="16">
        <v>7.0888</v>
      </c>
      <c r="J183" s="16">
        <v>7.9545000000000003</v>
      </c>
      <c r="K183" s="17">
        <v>648.72</v>
      </c>
      <c r="L183" s="15">
        <v>24.09</v>
      </c>
    </row>
    <row r="184" spans="1:12" x14ac:dyDescent="0.3">
      <c r="A184" s="18" t="s">
        <v>185</v>
      </c>
      <c r="B184" s="5" t="s">
        <v>63</v>
      </c>
      <c r="C184" s="5" t="s">
        <v>67</v>
      </c>
      <c r="D184" s="19">
        <v>3179</v>
      </c>
      <c r="E184" s="19">
        <v>168</v>
      </c>
      <c r="F184" s="20">
        <v>532.07000000000005</v>
      </c>
      <c r="G184" s="19">
        <v>13</v>
      </c>
      <c r="H184" s="20">
        <v>3110.25</v>
      </c>
      <c r="I184" s="21">
        <v>5.2847</v>
      </c>
      <c r="J184" s="21">
        <v>7.7381000000000002</v>
      </c>
      <c r="K184" s="22">
        <v>484.56</v>
      </c>
      <c r="L184" s="20">
        <v>40.93</v>
      </c>
    </row>
    <row r="185" spans="1:12" x14ac:dyDescent="0.3">
      <c r="A185" s="13" t="s">
        <v>223</v>
      </c>
      <c r="B185" s="9" t="s">
        <v>63</v>
      </c>
      <c r="C185" s="9"/>
      <c r="D185" s="14">
        <v>2763</v>
      </c>
      <c r="E185" s="14">
        <v>216</v>
      </c>
      <c r="F185" s="15">
        <v>439.89</v>
      </c>
      <c r="G185" s="14">
        <v>12</v>
      </c>
      <c r="H185" s="15">
        <v>2133.42</v>
      </c>
      <c r="I185" s="16">
        <v>7.8175999999999997</v>
      </c>
      <c r="J185" s="16">
        <v>5.5556000000000001</v>
      </c>
      <c r="K185" s="17">
        <v>384.99</v>
      </c>
      <c r="L185" s="15">
        <v>36.659999999999997</v>
      </c>
    </row>
    <row r="186" spans="1:12" x14ac:dyDescent="0.3">
      <c r="A186" s="18" t="s">
        <v>224</v>
      </c>
      <c r="B186" s="5" t="s">
        <v>63</v>
      </c>
      <c r="C186" s="5" t="s">
        <v>83</v>
      </c>
      <c r="D186" s="19">
        <v>5222</v>
      </c>
      <c r="E186" s="19">
        <v>416</v>
      </c>
      <c r="F186" s="20">
        <v>881.04</v>
      </c>
      <c r="G186" s="19">
        <v>41</v>
      </c>
      <c r="H186" s="20">
        <v>18969.939999999999</v>
      </c>
      <c r="I186" s="21">
        <v>7.9663000000000004</v>
      </c>
      <c r="J186" s="21">
        <v>9.8558000000000003</v>
      </c>
      <c r="K186" s="22">
        <v>2053.13</v>
      </c>
      <c r="L186" s="20">
        <v>21.49</v>
      </c>
    </row>
    <row r="187" spans="1:12" x14ac:dyDescent="0.3">
      <c r="A187" s="13" t="s">
        <v>223</v>
      </c>
      <c r="B187" s="9" t="s">
        <v>63</v>
      </c>
      <c r="C187" s="9" t="s">
        <v>71</v>
      </c>
      <c r="D187" s="14">
        <v>4909</v>
      </c>
      <c r="E187" s="14">
        <v>0</v>
      </c>
      <c r="F187" s="15">
        <v>1525.93</v>
      </c>
      <c r="G187" s="14">
        <v>16</v>
      </c>
      <c r="H187" s="15">
        <v>6599.02</v>
      </c>
      <c r="I187" s="16">
        <v>0</v>
      </c>
      <c r="J187" s="16">
        <v>0</v>
      </c>
      <c r="K187" s="17">
        <v>332.46</v>
      </c>
      <c r="L187" s="15">
        <v>95.37</v>
      </c>
    </row>
    <row r="188" spans="1:12" x14ac:dyDescent="0.3">
      <c r="A188" s="18" t="s">
        <v>225</v>
      </c>
      <c r="B188" s="5" t="s">
        <v>63</v>
      </c>
      <c r="C188" s="5" t="s">
        <v>115</v>
      </c>
      <c r="D188" s="19">
        <v>997</v>
      </c>
      <c r="E188" s="19">
        <v>42</v>
      </c>
      <c r="F188" s="20">
        <v>165.39</v>
      </c>
      <c r="G188" s="19">
        <v>2</v>
      </c>
      <c r="H188" s="20">
        <v>867.51</v>
      </c>
      <c r="I188" s="21">
        <v>4.2126000000000001</v>
      </c>
      <c r="J188" s="21">
        <v>4.7618999999999998</v>
      </c>
      <c r="K188" s="22">
        <v>424.52</v>
      </c>
      <c r="L188" s="20">
        <v>82.7</v>
      </c>
    </row>
    <row r="189" spans="1:12" x14ac:dyDescent="0.3">
      <c r="A189" s="13" t="s">
        <v>226</v>
      </c>
      <c r="B189" s="9" t="s">
        <v>63</v>
      </c>
      <c r="C189" s="9" t="s">
        <v>69</v>
      </c>
      <c r="D189" s="14">
        <v>7622</v>
      </c>
      <c r="E189" s="14">
        <v>638</v>
      </c>
      <c r="F189" s="15">
        <v>1710.23</v>
      </c>
      <c r="G189" s="14">
        <v>37</v>
      </c>
      <c r="H189" s="15">
        <v>16911.189999999999</v>
      </c>
      <c r="I189" s="16">
        <v>8.3704999999999998</v>
      </c>
      <c r="J189" s="16">
        <v>5.7994000000000003</v>
      </c>
      <c r="K189" s="17">
        <v>888.83</v>
      </c>
      <c r="L189" s="15">
        <v>46.22</v>
      </c>
    </row>
    <row r="190" spans="1:12" x14ac:dyDescent="0.3">
      <c r="A190" s="18" t="s">
        <v>207</v>
      </c>
      <c r="B190" s="5" t="s">
        <v>63</v>
      </c>
      <c r="C190" s="5" t="s">
        <v>83</v>
      </c>
      <c r="D190" s="19">
        <v>619</v>
      </c>
      <c r="E190" s="19">
        <v>20</v>
      </c>
      <c r="F190" s="20">
        <v>66.150000000000006</v>
      </c>
      <c r="G190" s="19">
        <v>1</v>
      </c>
      <c r="H190" s="20">
        <v>155.6</v>
      </c>
      <c r="I190" s="21">
        <v>3.2309999999999999</v>
      </c>
      <c r="J190" s="21">
        <v>5</v>
      </c>
      <c r="K190" s="22">
        <v>135.22</v>
      </c>
      <c r="L190" s="20">
        <v>66.150000000000006</v>
      </c>
    </row>
    <row r="191" spans="1:12" x14ac:dyDescent="0.3">
      <c r="A191" s="13" t="s">
        <v>227</v>
      </c>
      <c r="B191" s="9" t="s">
        <v>63</v>
      </c>
      <c r="C191" s="9" t="s">
        <v>67</v>
      </c>
      <c r="D191" s="14">
        <v>3490</v>
      </c>
      <c r="E191" s="14">
        <v>0</v>
      </c>
      <c r="F191" s="15">
        <v>277.14</v>
      </c>
      <c r="G191" s="14">
        <v>16</v>
      </c>
      <c r="H191" s="15">
        <v>4365.3999999999996</v>
      </c>
      <c r="I191" s="16">
        <v>0</v>
      </c>
      <c r="J191" s="16">
        <v>0</v>
      </c>
      <c r="K191" s="17">
        <v>1475.16</v>
      </c>
      <c r="L191" s="15">
        <v>17.32</v>
      </c>
    </row>
    <row r="192" spans="1:12" x14ac:dyDescent="0.3">
      <c r="A192" s="18" t="s">
        <v>228</v>
      </c>
      <c r="B192" s="5" t="s">
        <v>63</v>
      </c>
      <c r="C192" s="5" t="s">
        <v>64</v>
      </c>
      <c r="D192" s="19">
        <v>4315</v>
      </c>
      <c r="E192" s="19">
        <v>0</v>
      </c>
      <c r="F192" s="20">
        <v>1446.98</v>
      </c>
      <c r="G192" s="19">
        <v>35</v>
      </c>
      <c r="H192" s="20">
        <v>10897.96</v>
      </c>
      <c r="I192" s="21">
        <v>0</v>
      </c>
      <c r="J192" s="21">
        <v>0</v>
      </c>
      <c r="K192" s="22">
        <v>653.15</v>
      </c>
      <c r="L192" s="20">
        <v>41.34</v>
      </c>
    </row>
    <row r="193" spans="1:12" x14ac:dyDescent="0.3">
      <c r="A193" s="13" t="s">
        <v>76</v>
      </c>
      <c r="B193" s="9" t="s">
        <v>63</v>
      </c>
      <c r="C193" s="9" t="s">
        <v>88</v>
      </c>
      <c r="D193" s="14">
        <v>4894</v>
      </c>
      <c r="E193" s="14">
        <v>272</v>
      </c>
      <c r="F193" s="15">
        <v>324.48</v>
      </c>
      <c r="G193" s="14">
        <v>11</v>
      </c>
      <c r="H193" s="15">
        <v>1730.55</v>
      </c>
      <c r="I193" s="16">
        <v>5.5578000000000003</v>
      </c>
      <c r="J193" s="16">
        <v>4.0441000000000003</v>
      </c>
      <c r="K193" s="17">
        <v>433.33</v>
      </c>
      <c r="L193" s="15">
        <v>29.5</v>
      </c>
    </row>
    <row r="194" spans="1:12" x14ac:dyDescent="0.3">
      <c r="A194" s="18" t="s">
        <v>229</v>
      </c>
      <c r="B194" s="5" t="s">
        <v>63</v>
      </c>
      <c r="C194" s="5" t="s">
        <v>88</v>
      </c>
      <c r="D194" s="19">
        <v>6194</v>
      </c>
      <c r="E194" s="19">
        <v>437</v>
      </c>
      <c r="F194" s="20">
        <v>1880.27</v>
      </c>
      <c r="G194" s="19">
        <v>41</v>
      </c>
      <c r="H194" s="20">
        <v>19377.349999999999</v>
      </c>
      <c r="I194" s="21">
        <v>7.0552000000000001</v>
      </c>
      <c r="J194" s="21">
        <v>9.3821999999999992</v>
      </c>
      <c r="K194" s="22">
        <v>930.56</v>
      </c>
      <c r="L194" s="20">
        <v>45.86</v>
      </c>
    </row>
    <row r="195" spans="1:12" ht="22.8" x14ac:dyDescent="0.3">
      <c r="A195" s="13" t="s">
        <v>230</v>
      </c>
      <c r="B195" s="9" t="s">
        <v>63</v>
      </c>
      <c r="C195" s="9" t="s">
        <v>91</v>
      </c>
      <c r="D195" s="14">
        <v>0</v>
      </c>
      <c r="E195" s="14">
        <v>362</v>
      </c>
      <c r="F195" s="15">
        <v>1443.16</v>
      </c>
      <c r="G195" s="14">
        <v>26</v>
      </c>
      <c r="H195" s="15">
        <v>8668.43</v>
      </c>
      <c r="I195" s="16">
        <v>0</v>
      </c>
      <c r="J195" s="16">
        <v>7.1822999999999997</v>
      </c>
      <c r="K195" s="17">
        <v>500.66</v>
      </c>
      <c r="L195" s="15">
        <v>55.51</v>
      </c>
    </row>
    <row r="196" spans="1:12" x14ac:dyDescent="0.3">
      <c r="A196" s="18" t="s">
        <v>231</v>
      </c>
      <c r="B196" s="5" t="s">
        <v>63</v>
      </c>
      <c r="C196" s="5"/>
      <c r="D196" s="19">
        <v>6040</v>
      </c>
      <c r="E196" s="19">
        <v>208</v>
      </c>
      <c r="F196" s="20">
        <v>847.33</v>
      </c>
      <c r="G196" s="19">
        <v>8</v>
      </c>
      <c r="H196" s="20">
        <v>2325.56</v>
      </c>
      <c r="I196" s="21">
        <v>3.4437000000000002</v>
      </c>
      <c r="J196" s="21">
        <v>3.8462000000000001</v>
      </c>
      <c r="K196" s="22">
        <v>174.46</v>
      </c>
      <c r="L196" s="20">
        <v>105.92</v>
      </c>
    </row>
    <row r="197" spans="1:12" x14ac:dyDescent="0.3">
      <c r="A197" s="13" t="s">
        <v>232</v>
      </c>
      <c r="B197" s="9" t="s">
        <v>63</v>
      </c>
      <c r="C197" s="9" t="s">
        <v>69</v>
      </c>
      <c r="D197" s="14">
        <v>7769</v>
      </c>
      <c r="E197" s="14">
        <v>495</v>
      </c>
      <c r="F197" s="15">
        <v>1389.55</v>
      </c>
      <c r="G197" s="14">
        <v>22</v>
      </c>
      <c r="H197" s="15">
        <v>9378.7199999999993</v>
      </c>
      <c r="I197" s="16">
        <v>6.3715000000000002</v>
      </c>
      <c r="J197" s="16">
        <v>4.4443999999999999</v>
      </c>
      <c r="K197" s="17">
        <v>574.95000000000005</v>
      </c>
      <c r="L197" s="15">
        <v>63.16</v>
      </c>
    </row>
    <row r="198" spans="1:12" x14ac:dyDescent="0.3">
      <c r="A198" s="18" t="s">
        <v>233</v>
      </c>
      <c r="B198" s="5" t="s">
        <v>63</v>
      </c>
      <c r="C198" s="5" t="s">
        <v>115</v>
      </c>
      <c r="D198" s="19">
        <v>7710.9843651162601</v>
      </c>
      <c r="E198" s="19">
        <v>630.276036933569</v>
      </c>
      <c r="F198" s="20">
        <v>2440.51651687807</v>
      </c>
      <c r="G198" s="19">
        <v>54.542328123395599</v>
      </c>
      <c r="H198" s="20">
        <v>0</v>
      </c>
      <c r="I198" s="21">
        <v>8.1737000000000002</v>
      </c>
      <c r="J198" s="21">
        <v>8.6537000000000006</v>
      </c>
      <c r="K198" s="22">
        <v>-100</v>
      </c>
      <c r="L198" s="20">
        <v>44.75</v>
      </c>
    </row>
    <row r="199" spans="1:12" x14ac:dyDescent="0.3">
      <c r="A199" s="13" t="s">
        <v>153</v>
      </c>
      <c r="B199" s="9" t="s">
        <v>63</v>
      </c>
      <c r="C199" s="9" t="s">
        <v>115</v>
      </c>
      <c r="D199" s="14">
        <v>5309</v>
      </c>
      <c r="E199" s="14">
        <v>199</v>
      </c>
      <c r="F199" s="15">
        <v>278.39</v>
      </c>
      <c r="G199" s="14">
        <v>7</v>
      </c>
      <c r="H199" s="15">
        <v>1212.83</v>
      </c>
      <c r="I199" s="16">
        <v>3.7484000000000002</v>
      </c>
      <c r="J199" s="16">
        <v>3.5175999999999998</v>
      </c>
      <c r="K199" s="17">
        <v>335.66</v>
      </c>
      <c r="L199" s="15">
        <v>39.770000000000003</v>
      </c>
    </row>
    <row r="200" spans="1:12" x14ac:dyDescent="0.3">
      <c r="A200" s="18" t="s">
        <v>234</v>
      </c>
      <c r="B200" s="5" t="s">
        <v>63</v>
      </c>
      <c r="C200" s="5" t="s">
        <v>86</v>
      </c>
      <c r="D200" s="19">
        <v>1558</v>
      </c>
      <c r="E200" s="19">
        <v>95</v>
      </c>
      <c r="F200" s="20">
        <v>240.34</v>
      </c>
      <c r="G200" s="19">
        <v>4</v>
      </c>
      <c r="H200" s="20">
        <v>494.27</v>
      </c>
      <c r="I200" s="21">
        <v>6.0975999999999999</v>
      </c>
      <c r="J200" s="21">
        <v>4.2104999999999997</v>
      </c>
      <c r="K200" s="22">
        <v>105.65</v>
      </c>
      <c r="L200" s="20">
        <v>60.08</v>
      </c>
    </row>
    <row r="201" spans="1:12" x14ac:dyDescent="0.3">
      <c r="A201" s="13" t="s">
        <v>235</v>
      </c>
      <c r="B201" s="9" t="s">
        <v>63</v>
      </c>
      <c r="C201" s="9" t="s">
        <v>73</v>
      </c>
      <c r="D201" s="14">
        <v>4461</v>
      </c>
      <c r="E201" s="14">
        <v>169</v>
      </c>
      <c r="F201" s="15">
        <v>325.24</v>
      </c>
      <c r="G201" s="14">
        <v>7</v>
      </c>
      <c r="H201" s="15">
        <v>0</v>
      </c>
      <c r="I201" s="16">
        <v>3.7884000000000002</v>
      </c>
      <c r="J201" s="16">
        <v>4.1420000000000003</v>
      </c>
      <c r="K201" s="17">
        <v>-100</v>
      </c>
      <c r="L201" s="15">
        <v>46.46</v>
      </c>
    </row>
    <row r="202" spans="1:12" x14ac:dyDescent="0.3">
      <c r="A202" s="18" t="s">
        <v>203</v>
      </c>
      <c r="B202" s="5" t="s">
        <v>63</v>
      </c>
      <c r="C202" s="5" t="s">
        <v>86</v>
      </c>
      <c r="D202" s="19">
        <v>7002</v>
      </c>
      <c r="E202" s="19">
        <v>288</v>
      </c>
      <c r="F202" s="20">
        <v>898.75</v>
      </c>
      <c r="G202" s="19">
        <v>16</v>
      </c>
      <c r="H202" s="20">
        <v>4890.12</v>
      </c>
      <c r="I202" s="21">
        <v>4.1131000000000002</v>
      </c>
      <c r="J202" s="21">
        <v>5.5556000000000001</v>
      </c>
      <c r="K202" s="22">
        <v>444.1</v>
      </c>
      <c r="L202" s="20">
        <v>56.17</v>
      </c>
    </row>
    <row r="203" spans="1:12" x14ac:dyDescent="0.3">
      <c r="A203" s="13" t="s">
        <v>151</v>
      </c>
      <c r="B203" s="9" t="s">
        <v>63</v>
      </c>
      <c r="C203" s="9" t="s">
        <v>73</v>
      </c>
      <c r="D203" s="14">
        <v>7537</v>
      </c>
      <c r="E203" s="14">
        <v>312</v>
      </c>
      <c r="F203" s="15">
        <v>295.41000000000003</v>
      </c>
      <c r="G203" s="14">
        <v>21</v>
      </c>
      <c r="H203" s="15">
        <v>8580.58</v>
      </c>
      <c r="I203" s="16">
        <v>4.1395999999999997</v>
      </c>
      <c r="J203" s="16">
        <v>6.7308000000000003</v>
      </c>
      <c r="K203" s="17">
        <v>2804.63</v>
      </c>
      <c r="L203" s="15">
        <v>14.07</v>
      </c>
    </row>
    <row r="204" spans="1:12" x14ac:dyDescent="0.3">
      <c r="A204" s="18" t="s">
        <v>236</v>
      </c>
      <c r="B204" s="5" t="s">
        <v>63</v>
      </c>
      <c r="C204" s="5" t="s">
        <v>67</v>
      </c>
      <c r="D204" s="19">
        <v>7299</v>
      </c>
      <c r="E204" s="19">
        <v>288</v>
      </c>
      <c r="F204" s="20">
        <v>412.87</v>
      </c>
      <c r="G204" s="19">
        <v>17</v>
      </c>
      <c r="H204" s="20">
        <v>4530.5200000000004</v>
      </c>
      <c r="I204" s="21">
        <v>3.9457</v>
      </c>
      <c r="J204" s="21">
        <v>5.9028</v>
      </c>
      <c r="K204" s="22">
        <v>997.32</v>
      </c>
      <c r="L204" s="20">
        <v>24.29</v>
      </c>
    </row>
    <row r="205" spans="1:12" x14ac:dyDescent="0.3">
      <c r="A205" s="13" t="s">
        <v>237</v>
      </c>
      <c r="B205" s="9" t="s">
        <v>63</v>
      </c>
      <c r="C205" s="9" t="s">
        <v>64</v>
      </c>
      <c r="D205" s="14">
        <v>1542</v>
      </c>
      <c r="E205" s="14">
        <v>76</v>
      </c>
      <c r="F205" s="15">
        <v>255.56</v>
      </c>
      <c r="G205" s="14">
        <v>4</v>
      </c>
      <c r="H205" s="15">
        <v>1182.3599999999999</v>
      </c>
      <c r="I205" s="16">
        <v>4.9287000000000001</v>
      </c>
      <c r="J205" s="16">
        <v>5.2632000000000003</v>
      </c>
      <c r="K205" s="17">
        <v>362.65</v>
      </c>
      <c r="L205" s="15">
        <v>63.89</v>
      </c>
    </row>
    <row r="206" spans="1:12" x14ac:dyDescent="0.3">
      <c r="A206" s="18" t="s">
        <v>238</v>
      </c>
      <c r="B206" s="5" t="s">
        <v>63</v>
      </c>
      <c r="C206" s="5" t="s">
        <v>71</v>
      </c>
      <c r="D206" s="19">
        <v>4943</v>
      </c>
      <c r="E206" s="19">
        <v>314</v>
      </c>
      <c r="F206" s="20">
        <v>880.79</v>
      </c>
      <c r="G206" s="19">
        <v>12</v>
      </c>
      <c r="H206" s="20">
        <v>4159.54</v>
      </c>
      <c r="I206" s="21">
        <v>6.3524000000000003</v>
      </c>
      <c r="J206" s="21">
        <v>3.8216999999999999</v>
      </c>
      <c r="K206" s="22">
        <v>372.25</v>
      </c>
      <c r="L206" s="20">
        <v>73.400000000000006</v>
      </c>
    </row>
    <row r="207" spans="1:12" ht="22.8" x14ac:dyDescent="0.3">
      <c r="A207" s="13" t="s">
        <v>239</v>
      </c>
      <c r="B207" s="9" t="s">
        <v>63</v>
      </c>
      <c r="C207" s="9" t="s">
        <v>91</v>
      </c>
      <c r="D207" s="14">
        <v>3054</v>
      </c>
      <c r="E207" s="14">
        <v>187</v>
      </c>
      <c r="F207" s="15">
        <v>754.25</v>
      </c>
      <c r="G207" s="14">
        <v>8</v>
      </c>
      <c r="H207" s="15">
        <v>1434.57</v>
      </c>
      <c r="I207" s="16">
        <v>6.1231</v>
      </c>
      <c r="J207" s="16">
        <v>4.2781000000000002</v>
      </c>
      <c r="K207" s="17">
        <v>90.2</v>
      </c>
      <c r="L207" s="15">
        <v>94.28</v>
      </c>
    </row>
    <row r="208" spans="1:12" x14ac:dyDescent="0.3">
      <c r="A208" s="18" t="s">
        <v>240</v>
      </c>
      <c r="B208" s="5" t="s">
        <v>63</v>
      </c>
      <c r="C208" s="5"/>
      <c r="D208" s="19">
        <v>4865</v>
      </c>
      <c r="E208" s="19">
        <v>309</v>
      </c>
      <c r="F208" s="20">
        <v>283.87</v>
      </c>
      <c r="G208" s="19">
        <v>26</v>
      </c>
      <c r="H208" s="20">
        <v>4033.6</v>
      </c>
      <c r="I208" s="21">
        <v>6.3514999999999997</v>
      </c>
      <c r="J208" s="21">
        <v>8.4141999999999992</v>
      </c>
      <c r="K208" s="22">
        <v>1320.93</v>
      </c>
      <c r="L208" s="20">
        <v>10.92</v>
      </c>
    </row>
    <row r="209" spans="1:12" x14ac:dyDescent="0.3">
      <c r="A209" s="13" t="s">
        <v>97</v>
      </c>
      <c r="B209" s="9" t="s">
        <v>63</v>
      </c>
      <c r="C209" s="9" t="s">
        <v>71</v>
      </c>
      <c r="D209" s="14">
        <v>4314</v>
      </c>
      <c r="E209" s="14">
        <v>348</v>
      </c>
      <c r="F209" s="15">
        <v>495.05</v>
      </c>
      <c r="G209" s="14">
        <v>27</v>
      </c>
      <c r="H209" s="15">
        <v>3683.78</v>
      </c>
      <c r="I209" s="16">
        <v>8.0668000000000006</v>
      </c>
      <c r="J209" s="16">
        <v>7.7586000000000004</v>
      </c>
      <c r="K209" s="17">
        <v>644.12</v>
      </c>
      <c r="L209" s="15">
        <v>18.34</v>
      </c>
    </row>
    <row r="210" spans="1:12" x14ac:dyDescent="0.3">
      <c r="A210" s="18" t="s">
        <v>241</v>
      </c>
      <c r="B210" s="5" t="s">
        <v>63</v>
      </c>
      <c r="C210" s="5" t="s">
        <v>86</v>
      </c>
      <c r="D210" s="19">
        <v>754</v>
      </c>
      <c r="E210" s="19">
        <v>28</v>
      </c>
      <c r="F210" s="20">
        <v>55.84</v>
      </c>
      <c r="G210" s="19">
        <v>1</v>
      </c>
      <c r="H210" s="20">
        <v>335.79</v>
      </c>
      <c r="I210" s="21">
        <v>3.7134999999999998</v>
      </c>
      <c r="J210" s="21">
        <v>3.5714000000000001</v>
      </c>
      <c r="K210" s="22">
        <v>501.34</v>
      </c>
      <c r="L210" s="20">
        <v>55.84</v>
      </c>
    </row>
    <row r="211" spans="1:12" x14ac:dyDescent="0.3">
      <c r="A211" s="13" t="s">
        <v>242</v>
      </c>
      <c r="B211" s="9" t="s">
        <v>63</v>
      </c>
      <c r="C211" s="9" t="s">
        <v>73</v>
      </c>
      <c r="D211" s="14">
        <v>7814</v>
      </c>
      <c r="E211" s="14">
        <v>608</v>
      </c>
      <c r="F211" s="15">
        <v>1671.27</v>
      </c>
      <c r="G211" s="14">
        <v>30</v>
      </c>
      <c r="H211" s="15">
        <v>14182.57</v>
      </c>
      <c r="I211" s="16">
        <v>7.7808999999999999</v>
      </c>
      <c r="J211" s="16">
        <v>4.9341999999999997</v>
      </c>
      <c r="K211" s="17">
        <v>748.61</v>
      </c>
      <c r="L211" s="15">
        <v>55.71</v>
      </c>
    </row>
    <row r="212" spans="1:12" x14ac:dyDescent="0.3">
      <c r="A212" s="18" t="s">
        <v>243</v>
      </c>
      <c r="B212" s="5" t="s">
        <v>63</v>
      </c>
      <c r="C212" s="5" t="s">
        <v>71</v>
      </c>
      <c r="D212" s="19">
        <v>6593</v>
      </c>
      <c r="E212" s="19">
        <v>200</v>
      </c>
      <c r="F212" s="20">
        <v>894.28</v>
      </c>
      <c r="G212" s="19">
        <v>7</v>
      </c>
      <c r="H212" s="20">
        <v>2519.25</v>
      </c>
      <c r="I212" s="21">
        <v>3.0335000000000001</v>
      </c>
      <c r="J212" s="21">
        <v>3.5</v>
      </c>
      <c r="K212" s="22">
        <v>181.71</v>
      </c>
      <c r="L212" s="20">
        <v>127.75</v>
      </c>
    </row>
    <row r="213" spans="1:12" x14ac:dyDescent="0.3">
      <c r="A213" s="13" t="s">
        <v>185</v>
      </c>
      <c r="B213" s="9" t="s">
        <v>63</v>
      </c>
      <c r="C213" s="9" t="s">
        <v>71</v>
      </c>
      <c r="D213" s="14">
        <v>6204</v>
      </c>
      <c r="E213" s="14">
        <v>0</v>
      </c>
      <c r="F213" s="15">
        <v>1078.6199999999999</v>
      </c>
      <c r="G213" s="14">
        <v>14</v>
      </c>
      <c r="H213" s="15">
        <v>6186.84</v>
      </c>
      <c r="I213" s="16">
        <v>0</v>
      </c>
      <c r="J213" s="16">
        <v>0</v>
      </c>
      <c r="K213" s="17">
        <v>473.59</v>
      </c>
      <c r="L213" s="15">
        <v>77.040000000000006</v>
      </c>
    </row>
    <row r="214" spans="1:12" x14ac:dyDescent="0.3">
      <c r="A214" s="18" t="s">
        <v>244</v>
      </c>
      <c r="B214" s="5" t="s">
        <v>63</v>
      </c>
      <c r="C214" s="5" t="s">
        <v>86</v>
      </c>
      <c r="D214" s="19">
        <v>5173</v>
      </c>
      <c r="E214" s="19">
        <v>431</v>
      </c>
      <c r="F214" s="20">
        <v>628.58000000000004</v>
      </c>
      <c r="G214" s="19">
        <v>37</v>
      </c>
      <c r="H214" s="20">
        <v>17362.48</v>
      </c>
      <c r="I214" s="21">
        <v>8.3316999999999997</v>
      </c>
      <c r="J214" s="21">
        <v>8.5846999999999998</v>
      </c>
      <c r="K214" s="22">
        <v>2662.18</v>
      </c>
      <c r="L214" s="20">
        <v>16.989999999999998</v>
      </c>
    </row>
    <row r="215" spans="1:12" x14ac:dyDescent="0.3">
      <c r="A215" s="13" t="s">
        <v>179</v>
      </c>
      <c r="B215" s="9" t="s">
        <v>63</v>
      </c>
      <c r="C215" s="9" t="s">
        <v>83</v>
      </c>
      <c r="D215" s="14">
        <v>1167</v>
      </c>
      <c r="E215" s="14">
        <v>56</v>
      </c>
      <c r="F215" s="15">
        <v>126.6</v>
      </c>
      <c r="G215" s="14">
        <v>4</v>
      </c>
      <c r="H215" s="15">
        <v>501.58</v>
      </c>
      <c r="I215" s="16">
        <v>4.7986000000000004</v>
      </c>
      <c r="J215" s="16">
        <v>7.1429</v>
      </c>
      <c r="K215" s="17">
        <v>296.19</v>
      </c>
      <c r="L215" s="15">
        <v>31.65</v>
      </c>
    </row>
    <row r="216" spans="1:12" x14ac:dyDescent="0.3">
      <c r="A216" s="18" t="s">
        <v>245</v>
      </c>
      <c r="B216" s="5" t="s">
        <v>63</v>
      </c>
      <c r="C216" s="5" t="s">
        <v>73</v>
      </c>
      <c r="D216" s="19">
        <v>0</v>
      </c>
      <c r="E216" s="19">
        <v>47</v>
      </c>
      <c r="F216" s="20">
        <v>52.57</v>
      </c>
      <c r="G216" s="19">
        <v>3</v>
      </c>
      <c r="H216" s="20">
        <v>825.5</v>
      </c>
      <c r="I216" s="21">
        <v>0</v>
      </c>
      <c r="J216" s="21">
        <v>6.383</v>
      </c>
      <c r="K216" s="22">
        <v>1470.29</v>
      </c>
      <c r="L216" s="20">
        <v>17.52</v>
      </c>
    </row>
    <row r="217" spans="1:12" ht="22.8" x14ac:dyDescent="0.3">
      <c r="A217" s="13" t="s">
        <v>245</v>
      </c>
      <c r="B217" s="9" t="s">
        <v>63</v>
      </c>
      <c r="C217" s="9" t="s">
        <v>91</v>
      </c>
      <c r="D217" s="14">
        <v>7353</v>
      </c>
      <c r="E217" s="14">
        <v>398</v>
      </c>
      <c r="F217" s="15">
        <v>902.07</v>
      </c>
      <c r="G217" s="14">
        <v>35</v>
      </c>
      <c r="H217" s="15">
        <v>14470.17</v>
      </c>
      <c r="I217" s="16">
        <v>5.4127999999999998</v>
      </c>
      <c r="J217" s="16">
        <v>8.7940000000000005</v>
      </c>
      <c r="K217" s="17">
        <v>1504.11</v>
      </c>
      <c r="L217" s="15">
        <v>25.77</v>
      </c>
    </row>
    <row r="218" spans="1:12" x14ac:dyDescent="0.3">
      <c r="A218" s="18" t="s">
        <v>246</v>
      </c>
      <c r="B218" s="5" t="s">
        <v>63</v>
      </c>
      <c r="C218" s="5" t="s">
        <v>86</v>
      </c>
      <c r="D218" s="19">
        <v>1710</v>
      </c>
      <c r="E218" s="19">
        <v>97</v>
      </c>
      <c r="F218" s="20">
        <v>124.59</v>
      </c>
      <c r="G218" s="19">
        <v>3</v>
      </c>
      <c r="H218" s="20">
        <v>839.43</v>
      </c>
      <c r="I218" s="21">
        <v>5.6725000000000003</v>
      </c>
      <c r="J218" s="21">
        <v>3.0928</v>
      </c>
      <c r="K218" s="22">
        <v>573.75</v>
      </c>
      <c r="L218" s="20">
        <v>41.53</v>
      </c>
    </row>
    <row r="219" spans="1:12" ht="22.8" x14ac:dyDescent="0.3">
      <c r="A219" s="13" t="s">
        <v>247</v>
      </c>
      <c r="B219" s="9" t="s">
        <v>63</v>
      </c>
      <c r="C219" s="9" t="s">
        <v>91</v>
      </c>
      <c r="D219" s="14">
        <v>5084</v>
      </c>
      <c r="E219" s="14">
        <v>431</v>
      </c>
      <c r="F219" s="15">
        <v>702.87</v>
      </c>
      <c r="G219" s="14">
        <v>13</v>
      </c>
      <c r="H219" s="15">
        <v>5841.42</v>
      </c>
      <c r="I219" s="16">
        <v>8.4776000000000007</v>
      </c>
      <c r="J219" s="16">
        <v>3.0162</v>
      </c>
      <c r="K219" s="17">
        <v>731.08</v>
      </c>
      <c r="L219" s="15">
        <v>54.07</v>
      </c>
    </row>
    <row r="220" spans="1:12" x14ac:dyDescent="0.3">
      <c r="A220" s="18" t="s">
        <v>165</v>
      </c>
      <c r="B220" s="5" t="s">
        <v>63</v>
      </c>
      <c r="C220" s="5" t="s">
        <v>115</v>
      </c>
      <c r="D220" s="19">
        <v>4990</v>
      </c>
      <c r="E220" s="19">
        <v>155</v>
      </c>
      <c r="F220" s="20">
        <v>319.19</v>
      </c>
      <c r="G220" s="19">
        <v>13</v>
      </c>
      <c r="H220" s="20">
        <v>4770.8</v>
      </c>
      <c r="I220" s="21">
        <v>3.1061999999999999</v>
      </c>
      <c r="J220" s="21">
        <v>8.3871000000000002</v>
      </c>
      <c r="K220" s="22">
        <v>1394.66</v>
      </c>
      <c r="L220" s="20">
        <v>24.55</v>
      </c>
    </row>
    <row r="221" spans="1:12" x14ac:dyDescent="0.3">
      <c r="A221" s="13" t="s">
        <v>183</v>
      </c>
      <c r="B221" s="9" t="s">
        <v>63</v>
      </c>
      <c r="C221" s="9" t="s">
        <v>83</v>
      </c>
      <c r="D221" s="14">
        <v>2398</v>
      </c>
      <c r="E221" s="14">
        <v>92</v>
      </c>
      <c r="F221" s="15">
        <v>235.45</v>
      </c>
      <c r="G221" s="14">
        <v>7</v>
      </c>
      <c r="H221" s="15">
        <v>0</v>
      </c>
      <c r="I221" s="16">
        <v>3.8365</v>
      </c>
      <c r="J221" s="16">
        <v>7.6086999999999998</v>
      </c>
      <c r="K221" s="17">
        <v>-100</v>
      </c>
      <c r="L221" s="15">
        <v>33.64</v>
      </c>
    </row>
    <row r="222" spans="1:12" x14ac:dyDescent="0.3">
      <c r="A222" s="18" t="s">
        <v>183</v>
      </c>
      <c r="B222" s="5" t="s">
        <v>63</v>
      </c>
      <c r="C222" s="5" t="s">
        <v>69</v>
      </c>
      <c r="D222" s="19">
        <v>5018</v>
      </c>
      <c r="E222" s="19">
        <v>395</v>
      </c>
      <c r="F222" s="20">
        <v>1460.8</v>
      </c>
      <c r="G222" s="19">
        <v>23</v>
      </c>
      <c r="H222" s="20">
        <v>10143.93</v>
      </c>
      <c r="I222" s="21">
        <v>7.8716999999999997</v>
      </c>
      <c r="J222" s="21">
        <v>5.8228</v>
      </c>
      <c r="K222" s="22">
        <v>594.41</v>
      </c>
      <c r="L222" s="20">
        <v>63.51</v>
      </c>
    </row>
    <row r="223" spans="1:12" x14ac:dyDescent="0.3">
      <c r="A223" s="13" t="s">
        <v>248</v>
      </c>
      <c r="B223" s="9" t="s">
        <v>63</v>
      </c>
      <c r="C223" s="9" t="s">
        <v>73</v>
      </c>
      <c r="D223" s="14">
        <v>2350</v>
      </c>
      <c r="E223" s="14">
        <v>170</v>
      </c>
      <c r="F223" s="15">
        <v>603.9</v>
      </c>
      <c r="G223" s="14">
        <v>5</v>
      </c>
      <c r="H223" s="15">
        <v>1373.93</v>
      </c>
      <c r="I223" s="16">
        <v>7.234</v>
      </c>
      <c r="J223" s="16">
        <v>2.9411999999999998</v>
      </c>
      <c r="K223" s="17">
        <v>127.51</v>
      </c>
      <c r="L223" s="15">
        <v>120.78</v>
      </c>
    </row>
    <row r="224" spans="1:12" x14ac:dyDescent="0.3">
      <c r="A224" s="18" t="s">
        <v>249</v>
      </c>
      <c r="B224" s="5" t="s">
        <v>63</v>
      </c>
      <c r="C224" s="5" t="s">
        <v>64</v>
      </c>
      <c r="D224" s="19">
        <v>5346</v>
      </c>
      <c r="E224" s="19">
        <v>395</v>
      </c>
      <c r="F224" s="20">
        <v>360.91</v>
      </c>
      <c r="G224" s="19">
        <v>13</v>
      </c>
      <c r="H224" s="20">
        <v>3079.85</v>
      </c>
      <c r="I224" s="21">
        <v>7.3887</v>
      </c>
      <c r="J224" s="21">
        <v>3.2911000000000001</v>
      </c>
      <c r="K224" s="22">
        <v>753.36</v>
      </c>
      <c r="L224" s="20">
        <v>27.76</v>
      </c>
    </row>
    <row r="225" spans="1:12" ht="22.8" x14ac:dyDescent="0.3">
      <c r="A225" s="13" t="s">
        <v>250</v>
      </c>
      <c r="B225" s="9" t="s">
        <v>63</v>
      </c>
      <c r="C225" s="9" t="s">
        <v>91</v>
      </c>
      <c r="D225" s="14">
        <v>2812.1868982825199</v>
      </c>
      <c r="E225" s="14">
        <v>214.191177811193</v>
      </c>
      <c r="F225" s="15">
        <v>623.63902195087201</v>
      </c>
      <c r="G225" s="14">
        <v>6.8773960345409799</v>
      </c>
      <c r="H225" s="15">
        <v>2307.2510265987298</v>
      </c>
      <c r="I225" s="16">
        <v>7.6165000000000003</v>
      </c>
      <c r="J225" s="16">
        <v>3.2109000000000001</v>
      </c>
      <c r="K225" s="17">
        <v>269.97000000000003</v>
      </c>
      <c r="L225" s="15">
        <v>90.68</v>
      </c>
    </row>
    <row r="226" spans="1:12" ht="22.8" x14ac:dyDescent="0.3">
      <c r="A226" s="18" t="s">
        <v>251</v>
      </c>
      <c r="B226" s="5" t="s">
        <v>63</v>
      </c>
      <c r="C226" s="5" t="s">
        <v>91</v>
      </c>
      <c r="D226" s="19">
        <v>1637</v>
      </c>
      <c r="E226" s="19">
        <v>105</v>
      </c>
      <c r="F226" s="20">
        <v>401.7</v>
      </c>
      <c r="G226" s="19">
        <v>4</v>
      </c>
      <c r="H226" s="20">
        <v>500.19</v>
      </c>
      <c r="I226" s="21">
        <v>6.4142000000000001</v>
      </c>
      <c r="J226" s="21">
        <v>3.8094999999999999</v>
      </c>
      <c r="K226" s="22">
        <v>24.52</v>
      </c>
      <c r="L226" s="20">
        <v>100.42</v>
      </c>
    </row>
    <row r="227" spans="1:12" x14ac:dyDescent="0.3">
      <c r="A227" s="13" t="s">
        <v>79</v>
      </c>
      <c r="B227" s="9" t="s">
        <v>63</v>
      </c>
      <c r="C227" s="9" t="s">
        <v>115</v>
      </c>
      <c r="D227" s="14">
        <v>673.65432497908898</v>
      </c>
      <c r="E227" s="14">
        <v>40.473947452174201</v>
      </c>
      <c r="F227" s="15">
        <v>43.110396206101797</v>
      </c>
      <c r="G227" s="14">
        <v>1.0082923831677499</v>
      </c>
      <c r="H227" s="15">
        <v>467.33069205892599</v>
      </c>
      <c r="I227" s="16">
        <v>6.0080999999999998</v>
      </c>
      <c r="J227" s="16">
        <v>2.4912000000000001</v>
      </c>
      <c r="K227" s="17">
        <v>984.03</v>
      </c>
      <c r="L227" s="15">
        <v>42.76</v>
      </c>
    </row>
    <row r="228" spans="1:12" x14ac:dyDescent="0.3">
      <c r="A228" s="18" t="s">
        <v>252</v>
      </c>
      <c r="B228" s="5" t="s">
        <v>63</v>
      </c>
      <c r="C228" s="5" t="s">
        <v>64</v>
      </c>
      <c r="D228" s="19">
        <v>6823</v>
      </c>
      <c r="E228" s="19">
        <v>217</v>
      </c>
      <c r="F228" s="20">
        <v>433.43</v>
      </c>
      <c r="G228" s="19">
        <v>8</v>
      </c>
      <c r="H228" s="20">
        <v>975.21</v>
      </c>
      <c r="I228" s="21">
        <v>3.1804000000000001</v>
      </c>
      <c r="J228" s="21">
        <v>3.6865999999999999</v>
      </c>
      <c r="K228" s="22">
        <v>125</v>
      </c>
      <c r="L228" s="20">
        <v>54.18</v>
      </c>
    </row>
    <row r="229" spans="1:12" x14ac:dyDescent="0.3">
      <c r="A229" s="13" t="s">
        <v>253</v>
      </c>
      <c r="B229" s="9" t="s">
        <v>63</v>
      </c>
      <c r="C229" s="9" t="s">
        <v>64</v>
      </c>
      <c r="D229" s="14">
        <v>2260</v>
      </c>
      <c r="E229" s="14">
        <v>127</v>
      </c>
      <c r="F229" s="15">
        <v>460.65</v>
      </c>
      <c r="G229" s="14">
        <v>7</v>
      </c>
      <c r="H229" s="15">
        <v>2801.07</v>
      </c>
      <c r="I229" s="16">
        <v>5.6195000000000004</v>
      </c>
      <c r="J229" s="16">
        <v>5.5118</v>
      </c>
      <c r="K229" s="17">
        <v>508.07</v>
      </c>
      <c r="L229" s="15">
        <v>65.81</v>
      </c>
    </row>
    <row r="230" spans="1:12" x14ac:dyDescent="0.3">
      <c r="A230" s="18" t="s">
        <v>237</v>
      </c>
      <c r="B230" s="5" t="s">
        <v>63</v>
      </c>
      <c r="C230" s="5" t="s">
        <v>115</v>
      </c>
      <c r="D230" s="19">
        <v>4488</v>
      </c>
      <c r="E230" s="19">
        <v>197</v>
      </c>
      <c r="F230" s="20">
        <v>0</v>
      </c>
      <c r="G230" s="19">
        <v>13</v>
      </c>
      <c r="H230" s="20">
        <v>3103.8</v>
      </c>
      <c r="I230" s="21">
        <v>4.3895</v>
      </c>
      <c r="J230" s="21">
        <v>6.5990000000000002</v>
      </c>
      <c r="K230" s="22">
        <v>0</v>
      </c>
      <c r="L230" s="20">
        <v>0</v>
      </c>
    </row>
    <row r="231" spans="1:12" x14ac:dyDescent="0.3">
      <c r="A231" s="13" t="s">
        <v>254</v>
      </c>
      <c r="B231" s="9" t="s">
        <v>63</v>
      </c>
      <c r="C231" s="9" t="s">
        <v>88</v>
      </c>
      <c r="D231" s="14">
        <v>584</v>
      </c>
      <c r="E231" s="14">
        <v>44</v>
      </c>
      <c r="F231" s="15">
        <v>77.53</v>
      </c>
      <c r="G231" s="14">
        <v>2</v>
      </c>
      <c r="H231" s="15">
        <v>288.79000000000002</v>
      </c>
      <c r="I231" s="16">
        <v>7.5342000000000002</v>
      </c>
      <c r="J231" s="16">
        <v>4.5454999999999997</v>
      </c>
      <c r="K231" s="17">
        <v>272.49</v>
      </c>
      <c r="L231" s="15">
        <v>38.76</v>
      </c>
    </row>
    <row r="232" spans="1:12" x14ac:dyDescent="0.3">
      <c r="A232" s="18" t="s">
        <v>255</v>
      </c>
      <c r="B232" s="5" t="s">
        <v>63</v>
      </c>
      <c r="C232" s="5"/>
      <c r="D232" s="19">
        <v>6177</v>
      </c>
      <c r="E232" s="19">
        <v>283</v>
      </c>
      <c r="F232" s="20">
        <v>718.07</v>
      </c>
      <c r="G232" s="19">
        <v>24</v>
      </c>
      <c r="H232" s="20">
        <v>6795.22</v>
      </c>
      <c r="I232" s="21">
        <v>4.5815000000000001</v>
      </c>
      <c r="J232" s="21">
        <v>8.4806000000000008</v>
      </c>
      <c r="K232" s="22">
        <v>846.32</v>
      </c>
      <c r="L232" s="20">
        <v>29.92</v>
      </c>
    </row>
    <row r="233" spans="1:12" x14ac:dyDescent="0.3">
      <c r="A233" s="13" t="s">
        <v>256</v>
      </c>
      <c r="B233" s="9" t="s">
        <v>63</v>
      </c>
      <c r="C233" s="9"/>
      <c r="D233" s="14">
        <v>7524</v>
      </c>
      <c r="E233" s="14">
        <v>617</v>
      </c>
      <c r="F233" s="15">
        <v>1430.78</v>
      </c>
      <c r="G233" s="14">
        <v>0</v>
      </c>
      <c r="H233" s="15">
        <v>12222.29</v>
      </c>
      <c r="I233" s="16">
        <v>8.2004000000000001</v>
      </c>
      <c r="J233" s="16">
        <v>0</v>
      </c>
      <c r="K233" s="17">
        <v>754.24</v>
      </c>
      <c r="L233" s="15">
        <v>0</v>
      </c>
    </row>
    <row r="234" spans="1:12" x14ac:dyDescent="0.3">
      <c r="A234" s="18" t="s">
        <v>236</v>
      </c>
      <c r="B234" s="5" t="s">
        <v>63</v>
      </c>
      <c r="C234" s="5" t="s">
        <v>86</v>
      </c>
      <c r="D234" s="19">
        <v>3965</v>
      </c>
      <c r="E234" s="19">
        <v>228</v>
      </c>
      <c r="F234" s="20">
        <v>1011</v>
      </c>
      <c r="G234" s="19">
        <v>14</v>
      </c>
      <c r="H234" s="20">
        <v>3590.33</v>
      </c>
      <c r="I234" s="21">
        <v>5.7503000000000002</v>
      </c>
      <c r="J234" s="21">
        <v>6.1403999999999996</v>
      </c>
      <c r="K234" s="22">
        <v>255.13</v>
      </c>
      <c r="L234" s="20">
        <v>72.209999999999994</v>
      </c>
    </row>
    <row r="235" spans="1:12" x14ac:dyDescent="0.3">
      <c r="A235" s="13" t="s">
        <v>166</v>
      </c>
      <c r="B235" s="9" t="s">
        <v>63</v>
      </c>
      <c r="C235" s="9"/>
      <c r="D235" s="14">
        <v>5045</v>
      </c>
      <c r="E235" s="14">
        <v>232</v>
      </c>
      <c r="F235" s="15">
        <v>552.82000000000005</v>
      </c>
      <c r="G235" s="14">
        <v>17</v>
      </c>
      <c r="H235" s="15">
        <v>0</v>
      </c>
      <c r="I235" s="16">
        <v>4.5986000000000002</v>
      </c>
      <c r="J235" s="16">
        <v>7.3276000000000003</v>
      </c>
      <c r="K235" s="17">
        <v>-100</v>
      </c>
      <c r="L235" s="15">
        <v>32.520000000000003</v>
      </c>
    </row>
    <row r="236" spans="1:12" x14ac:dyDescent="0.3">
      <c r="A236" s="18" t="s">
        <v>257</v>
      </c>
      <c r="B236" s="5" t="s">
        <v>63</v>
      </c>
      <c r="C236" s="5" t="s">
        <v>67</v>
      </c>
      <c r="D236" s="19">
        <v>3093</v>
      </c>
      <c r="E236" s="19">
        <v>141</v>
      </c>
      <c r="F236" s="20">
        <v>547.99</v>
      </c>
      <c r="G236" s="19">
        <v>8</v>
      </c>
      <c r="H236" s="20">
        <v>2862.64</v>
      </c>
      <c r="I236" s="21">
        <v>4.5587</v>
      </c>
      <c r="J236" s="21">
        <v>5.6738</v>
      </c>
      <c r="K236" s="22">
        <v>422.39</v>
      </c>
      <c r="L236" s="20">
        <v>68.5</v>
      </c>
    </row>
    <row r="237" spans="1:12" x14ac:dyDescent="0.3">
      <c r="A237" s="13" t="s">
        <v>258</v>
      </c>
      <c r="B237" s="9" t="s">
        <v>63</v>
      </c>
      <c r="C237" s="9" t="s">
        <v>88</v>
      </c>
      <c r="D237" s="14">
        <v>4414</v>
      </c>
      <c r="E237" s="14">
        <v>266</v>
      </c>
      <c r="F237" s="15">
        <v>600.17999999999995</v>
      </c>
      <c r="G237" s="14">
        <v>8</v>
      </c>
      <c r="H237" s="15">
        <v>1779.23</v>
      </c>
      <c r="I237" s="16">
        <v>6.0263</v>
      </c>
      <c r="J237" s="16">
        <v>3.0074999999999998</v>
      </c>
      <c r="K237" s="17">
        <v>196.45</v>
      </c>
      <c r="L237" s="15">
        <v>75.02</v>
      </c>
    </row>
    <row r="238" spans="1:12" ht="22.8" x14ac:dyDescent="0.3">
      <c r="A238" s="18" t="s">
        <v>259</v>
      </c>
      <c r="B238" s="5" t="s">
        <v>63</v>
      </c>
      <c r="C238" s="5" t="s">
        <v>91</v>
      </c>
      <c r="D238" s="19">
        <v>4903</v>
      </c>
      <c r="E238" s="19">
        <v>407</v>
      </c>
      <c r="F238" s="20">
        <v>1034.71</v>
      </c>
      <c r="G238" s="19">
        <v>32</v>
      </c>
      <c r="H238" s="20">
        <v>13223.8</v>
      </c>
      <c r="I238" s="21">
        <v>8.3010000000000002</v>
      </c>
      <c r="J238" s="21">
        <v>7.8624000000000001</v>
      </c>
      <c r="K238" s="22">
        <v>1178.02</v>
      </c>
      <c r="L238" s="20">
        <v>32.33</v>
      </c>
    </row>
    <row r="239" spans="1:12" x14ac:dyDescent="0.3">
      <c r="A239" s="13" t="s">
        <v>260</v>
      </c>
      <c r="B239" s="9" t="s">
        <v>63</v>
      </c>
      <c r="C239" s="9" t="s">
        <v>71</v>
      </c>
      <c r="D239" s="14">
        <v>4367</v>
      </c>
      <c r="E239" s="14">
        <v>365</v>
      </c>
      <c r="F239" s="15">
        <v>1461.55</v>
      </c>
      <c r="G239" s="14">
        <v>30</v>
      </c>
      <c r="H239" s="15">
        <v>7763.68</v>
      </c>
      <c r="I239" s="16">
        <v>8.3581000000000003</v>
      </c>
      <c r="J239" s="16">
        <v>8.2192000000000007</v>
      </c>
      <c r="K239" s="17">
        <v>431.19</v>
      </c>
      <c r="L239" s="15">
        <v>48.72</v>
      </c>
    </row>
    <row r="240" spans="1:12" ht="22.8" x14ac:dyDescent="0.3">
      <c r="A240" s="18" t="s">
        <v>153</v>
      </c>
      <c r="B240" s="5" t="s">
        <v>63</v>
      </c>
      <c r="C240" s="5" t="s">
        <v>91</v>
      </c>
      <c r="D240" s="19">
        <v>6347</v>
      </c>
      <c r="E240" s="19">
        <v>534</v>
      </c>
      <c r="F240" s="20">
        <v>2021.06</v>
      </c>
      <c r="G240" s="19">
        <v>19</v>
      </c>
      <c r="H240" s="20">
        <v>3690.06</v>
      </c>
      <c r="I240" s="21">
        <v>8.4133999999999993</v>
      </c>
      <c r="J240" s="21">
        <v>3.5581</v>
      </c>
      <c r="K240" s="22">
        <v>82.58</v>
      </c>
      <c r="L240" s="20">
        <v>106.37</v>
      </c>
    </row>
    <row r="241" spans="1:12" x14ac:dyDescent="0.3">
      <c r="A241" s="13" t="s">
        <v>259</v>
      </c>
      <c r="B241" s="9" t="s">
        <v>63</v>
      </c>
      <c r="C241" s="9" t="s">
        <v>115</v>
      </c>
      <c r="D241" s="14">
        <v>0</v>
      </c>
      <c r="E241" s="14">
        <v>221</v>
      </c>
      <c r="F241" s="15">
        <v>896.51</v>
      </c>
      <c r="G241" s="14">
        <v>0</v>
      </c>
      <c r="H241" s="15">
        <v>4359.3</v>
      </c>
      <c r="I241" s="16">
        <v>0</v>
      </c>
      <c r="J241" s="16">
        <v>0</v>
      </c>
      <c r="K241" s="17">
        <v>386.25</v>
      </c>
      <c r="L241" s="15">
        <v>0</v>
      </c>
    </row>
    <row r="242" spans="1:12" x14ac:dyDescent="0.3">
      <c r="A242" s="18" t="s">
        <v>261</v>
      </c>
      <c r="B242" s="5" t="s">
        <v>63</v>
      </c>
      <c r="C242" s="5" t="s">
        <v>86</v>
      </c>
      <c r="D242" s="19">
        <v>7956</v>
      </c>
      <c r="E242" s="19">
        <v>292</v>
      </c>
      <c r="F242" s="20">
        <v>654.17999999999995</v>
      </c>
      <c r="G242" s="19">
        <v>0</v>
      </c>
      <c r="H242" s="20">
        <v>3897.09</v>
      </c>
      <c r="I242" s="21">
        <v>3.6701999999999999</v>
      </c>
      <c r="J242" s="21">
        <v>0</v>
      </c>
      <c r="K242" s="22">
        <v>495.72</v>
      </c>
      <c r="L242" s="20">
        <v>0</v>
      </c>
    </row>
    <row r="243" spans="1:12" ht="22.8" x14ac:dyDescent="0.3">
      <c r="A243" s="13" t="s">
        <v>262</v>
      </c>
      <c r="B243" s="9" t="s">
        <v>63</v>
      </c>
      <c r="C243" s="9" t="s">
        <v>91</v>
      </c>
      <c r="D243" s="14">
        <v>5460</v>
      </c>
      <c r="E243" s="14">
        <v>170</v>
      </c>
      <c r="F243" s="15">
        <v>300.57</v>
      </c>
      <c r="G243" s="14">
        <v>7</v>
      </c>
      <c r="H243" s="15">
        <v>2534.67</v>
      </c>
      <c r="I243" s="16">
        <v>3.1135999999999999</v>
      </c>
      <c r="J243" s="16">
        <v>4.1176000000000004</v>
      </c>
      <c r="K243" s="17">
        <v>743.29</v>
      </c>
      <c r="L243" s="15">
        <v>42.94</v>
      </c>
    </row>
    <row r="244" spans="1:12" x14ac:dyDescent="0.3">
      <c r="A244" s="18" t="s">
        <v>220</v>
      </c>
      <c r="B244" s="5" t="s">
        <v>63</v>
      </c>
      <c r="C244" s="5" t="s">
        <v>71</v>
      </c>
      <c r="D244" s="19">
        <v>7782</v>
      </c>
      <c r="E244" s="19">
        <v>334</v>
      </c>
      <c r="F244" s="20">
        <v>841.6</v>
      </c>
      <c r="G244" s="19">
        <v>-13</v>
      </c>
      <c r="H244" s="20">
        <v>3228.47</v>
      </c>
      <c r="I244" s="21">
        <v>4.2919999999999998</v>
      </c>
      <c r="J244" s="21">
        <v>-3.8921999999999999</v>
      </c>
      <c r="K244" s="22">
        <v>283.61</v>
      </c>
      <c r="L244" s="20">
        <v>0</v>
      </c>
    </row>
    <row r="245" spans="1:12" x14ac:dyDescent="0.3">
      <c r="A245" s="13" t="s">
        <v>263</v>
      </c>
      <c r="B245" s="9" t="s">
        <v>63</v>
      </c>
      <c r="C245" s="9" t="s">
        <v>115</v>
      </c>
      <c r="D245" s="14">
        <v>687</v>
      </c>
      <c r="E245" s="14">
        <v>44</v>
      </c>
      <c r="F245" s="15">
        <v>103.28</v>
      </c>
      <c r="G245" s="14">
        <v>3</v>
      </c>
      <c r="H245" s="15">
        <v>1316.61</v>
      </c>
      <c r="I245" s="16">
        <v>6.4047000000000001</v>
      </c>
      <c r="J245" s="16">
        <v>6.8182</v>
      </c>
      <c r="K245" s="17">
        <v>1174.8</v>
      </c>
      <c r="L245" s="15">
        <v>34.43</v>
      </c>
    </row>
    <row r="246" spans="1:12" x14ac:dyDescent="0.3">
      <c r="A246" s="18" t="s">
        <v>264</v>
      </c>
      <c r="B246" s="5" t="s">
        <v>63</v>
      </c>
      <c r="C246" s="5"/>
      <c r="D246" s="19">
        <v>0</v>
      </c>
      <c r="E246" s="19">
        <v>70</v>
      </c>
      <c r="F246" s="20">
        <v>246.25</v>
      </c>
      <c r="G246" s="19">
        <v>5</v>
      </c>
      <c r="H246" s="20">
        <v>1485.11</v>
      </c>
      <c r="I246" s="21">
        <v>0</v>
      </c>
      <c r="J246" s="21">
        <v>7.1429</v>
      </c>
      <c r="K246" s="22">
        <v>503.09</v>
      </c>
      <c r="L246" s="20">
        <v>49.25</v>
      </c>
    </row>
    <row r="247" spans="1:12" x14ac:dyDescent="0.3">
      <c r="A247" s="13" t="s">
        <v>102</v>
      </c>
      <c r="B247" s="9" t="s">
        <v>63</v>
      </c>
      <c r="C247" s="9" t="s">
        <v>73</v>
      </c>
      <c r="D247" s="14">
        <v>1129</v>
      </c>
      <c r="E247" s="14">
        <v>70</v>
      </c>
      <c r="F247" s="15">
        <v>249.83</v>
      </c>
      <c r="G247" s="14">
        <v>0</v>
      </c>
      <c r="H247" s="15">
        <v>485.32</v>
      </c>
      <c r="I247" s="16">
        <v>6.2001999999999997</v>
      </c>
      <c r="J247" s="16">
        <v>0</v>
      </c>
      <c r="K247" s="17">
        <v>94.26</v>
      </c>
      <c r="L247" s="15">
        <v>0</v>
      </c>
    </row>
    <row r="248" spans="1:12" x14ac:dyDescent="0.3">
      <c r="A248" s="18" t="s">
        <v>235</v>
      </c>
      <c r="B248" s="5" t="s">
        <v>63</v>
      </c>
      <c r="C248" s="5" t="s">
        <v>86</v>
      </c>
      <c r="D248" s="19">
        <v>1081</v>
      </c>
      <c r="E248" s="19">
        <v>92</v>
      </c>
      <c r="F248" s="20">
        <v>379.48</v>
      </c>
      <c r="G248" s="19">
        <v>4</v>
      </c>
      <c r="H248" s="20">
        <v>1459.87</v>
      </c>
      <c r="I248" s="21">
        <v>8.5106000000000002</v>
      </c>
      <c r="J248" s="21">
        <v>4.3478000000000003</v>
      </c>
      <c r="K248" s="22">
        <v>284.7</v>
      </c>
      <c r="L248" s="20">
        <v>94.87</v>
      </c>
    </row>
    <row r="249" spans="1:12" x14ac:dyDescent="0.3">
      <c r="A249" s="13" t="s">
        <v>265</v>
      </c>
      <c r="B249" s="9" t="s">
        <v>63</v>
      </c>
      <c r="C249" s="9" t="s">
        <v>86</v>
      </c>
      <c r="D249" s="14">
        <v>7644</v>
      </c>
      <c r="E249" s="14">
        <v>498</v>
      </c>
      <c r="F249" s="15">
        <v>1497.02</v>
      </c>
      <c r="G249" s="14">
        <v>35</v>
      </c>
      <c r="H249" s="15">
        <v>7961.07</v>
      </c>
      <c r="I249" s="16">
        <v>6.5148999999999999</v>
      </c>
      <c r="J249" s="16">
        <v>7.0281000000000002</v>
      </c>
      <c r="K249" s="17">
        <v>431.79</v>
      </c>
      <c r="L249" s="15">
        <v>42.77</v>
      </c>
    </row>
    <row r="250" spans="1:12" x14ac:dyDescent="0.3">
      <c r="A250" s="18" t="s">
        <v>266</v>
      </c>
      <c r="B250" s="5" t="s">
        <v>63</v>
      </c>
      <c r="C250" s="5" t="s">
        <v>86</v>
      </c>
      <c r="D250" s="19">
        <v>3596</v>
      </c>
      <c r="E250" s="19">
        <v>175</v>
      </c>
      <c r="F250" s="20">
        <v>394.16</v>
      </c>
      <c r="G250" s="19">
        <v>13</v>
      </c>
      <c r="H250" s="20">
        <v>6230.76</v>
      </c>
      <c r="I250" s="21">
        <v>4.8665000000000003</v>
      </c>
      <c r="J250" s="21">
        <v>7.4286000000000003</v>
      </c>
      <c r="K250" s="22">
        <v>1480.77</v>
      </c>
      <c r="L250" s="20">
        <v>30.32</v>
      </c>
    </row>
    <row r="251" spans="1:12" x14ac:dyDescent="0.3">
      <c r="A251" s="13" t="s">
        <v>267</v>
      </c>
      <c r="B251" s="9" t="s">
        <v>63</v>
      </c>
      <c r="C251" s="9" t="s">
        <v>73</v>
      </c>
      <c r="D251" s="14">
        <v>2584</v>
      </c>
      <c r="E251" s="14">
        <v>197</v>
      </c>
      <c r="F251" s="15">
        <v>672.29</v>
      </c>
      <c r="G251" s="14">
        <v>0</v>
      </c>
      <c r="H251" s="15">
        <v>2414.37</v>
      </c>
      <c r="I251" s="16">
        <v>7.6238000000000001</v>
      </c>
      <c r="J251" s="16">
        <v>0</v>
      </c>
      <c r="K251" s="17">
        <v>259.13</v>
      </c>
      <c r="L251" s="15">
        <v>0</v>
      </c>
    </row>
    <row r="252" spans="1:12" x14ac:dyDescent="0.3">
      <c r="A252" s="18" t="s">
        <v>268</v>
      </c>
      <c r="B252" s="5" t="s">
        <v>63</v>
      </c>
      <c r="C252" s="5" t="s">
        <v>83</v>
      </c>
      <c r="D252" s="19">
        <v>4677</v>
      </c>
      <c r="E252" s="19">
        <v>211</v>
      </c>
      <c r="F252" s="20">
        <v>200.72</v>
      </c>
      <c r="G252" s="19">
        <v>19</v>
      </c>
      <c r="H252" s="20">
        <v>0</v>
      </c>
      <c r="I252" s="21">
        <v>4.5114000000000001</v>
      </c>
      <c r="J252" s="21">
        <v>9.0046999999999997</v>
      </c>
      <c r="K252" s="22">
        <v>-100</v>
      </c>
      <c r="L252" s="20">
        <v>10.56</v>
      </c>
    </row>
    <row r="253" spans="1:12" x14ac:dyDescent="0.3">
      <c r="A253" s="13" t="s">
        <v>269</v>
      </c>
      <c r="B253" s="9" t="s">
        <v>63</v>
      </c>
      <c r="C253" s="9" t="s">
        <v>64</v>
      </c>
      <c r="D253" s="14">
        <v>751</v>
      </c>
      <c r="E253" s="14">
        <v>30</v>
      </c>
      <c r="F253" s="15">
        <v>32.39</v>
      </c>
      <c r="G253" s="14">
        <v>2</v>
      </c>
      <c r="H253" s="15">
        <v>726.58</v>
      </c>
      <c r="I253" s="16">
        <v>3.9946999999999999</v>
      </c>
      <c r="J253" s="16">
        <v>6.6666999999999996</v>
      </c>
      <c r="K253" s="17">
        <v>2143.2199999999998</v>
      </c>
      <c r="L253" s="15">
        <v>16.2</v>
      </c>
    </row>
    <row r="254" spans="1:12" x14ac:dyDescent="0.3">
      <c r="A254" s="18" t="s">
        <v>270</v>
      </c>
      <c r="B254" s="5" t="s">
        <v>63</v>
      </c>
      <c r="C254" s="5" t="s">
        <v>88</v>
      </c>
      <c r="D254" s="19">
        <v>5675</v>
      </c>
      <c r="E254" s="19">
        <v>258</v>
      </c>
      <c r="F254" s="20">
        <v>380.03</v>
      </c>
      <c r="G254" s="19">
        <v>9</v>
      </c>
      <c r="H254" s="20">
        <v>1967.49</v>
      </c>
      <c r="I254" s="21">
        <v>4.5462999999999996</v>
      </c>
      <c r="J254" s="21">
        <v>3.4883999999999999</v>
      </c>
      <c r="K254" s="22">
        <v>417.72</v>
      </c>
      <c r="L254" s="20">
        <v>42.23</v>
      </c>
    </row>
    <row r="255" spans="1:12" x14ac:dyDescent="0.3">
      <c r="A255" s="13" t="s">
        <v>270</v>
      </c>
      <c r="B255" s="9" t="s">
        <v>63</v>
      </c>
      <c r="C255" s="9" t="s">
        <v>71</v>
      </c>
      <c r="D255" s="14">
        <v>7046</v>
      </c>
      <c r="E255" s="14">
        <v>238</v>
      </c>
      <c r="F255" s="15">
        <v>322.42</v>
      </c>
      <c r="G255" s="14">
        <v>16</v>
      </c>
      <c r="H255" s="15">
        <v>6847.82</v>
      </c>
      <c r="I255" s="16">
        <v>3.3778000000000001</v>
      </c>
      <c r="J255" s="16">
        <v>6.7226999999999997</v>
      </c>
      <c r="K255" s="17">
        <v>2023.88</v>
      </c>
      <c r="L255" s="15">
        <v>20.149999999999999</v>
      </c>
    </row>
    <row r="256" spans="1:12" x14ac:dyDescent="0.3">
      <c r="A256" s="18" t="s">
        <v>271</v>
      </c>
      <c r="B256" s="5" t="s">
        <v>63</v>
      </c>
      <c r="C256" s="5" t="s">
        <v>86</v>
      </c>
      <c r="D256" s="19">
        <v>5365</v>
      </c>
      <c r="E256" s="19">
        <v>292</v>
      </c>
      <c r="F256" s="20">
        <v>907.5</v>
      </c>
      <c r="G256" s="19">
        <v>25</v>
      </c>
      <c r="H256" s="20">
        <v>9568.4699999999993</v>
      </c>
      <c r="I256" s="21">
        <v>5.4427000000000003</v>
      </c>
      <c r="J256" s="21">
        <v>8.5616000000000003</v>
      </c>
      <c r="K256" s="22">
        <v>954.38</v>
      </c>
      <c r="L256" s="20">
        <v>36.299999999999997</v>
      </c>
    </row>
    <row r="257" spans="1:12" x14ac:dyDescent="0.3">
      <c r="A257" s="13" t="s">
        <v>272</v>
      </c>
      <c r="B257" s="9" t="s">
        <v>63</v>
      </c>
      <c r="C257" s="9"/>
      <c r="D257" s="14">
        <v>3577</v>
      </c>
      <c r="E257" s="14">
        <v>242</v>
      </c>
      <c r="F257" s="15">
        <v>558.17999999999995</v>
      </c>
      <c r="G257" s="14">
        <v>17</v>
      </c>
      <c r="H257" s="15">
        <v>0</v>
      </c>
      <c r="I257" s="16">
        <v>6.7653999999999996</v>
      </c>
      <c r="J257" s="16">
        <v>7.0247999999999999</v>
      </c>
      <c r="K257" s="17">
        <v>-100</v>
      </c>
      <c r="L257" s="15">
        <v>32.83</v>
      </c>
    </row>
    <row r="258" spans="1:12" x14ac:dyDescent="0.3">
      <c r="A258" s="18" t="s">
        <v>273</v>
      </c>
      <c r="B258" s="5" t="s">
        <v>63</v>
      </c>
      <c r="C258" s="5" t="s">
        <v>88</v>
      </c>
      <c r="D258" s="19">
        <v>2138</v>
      </c>
      <c r="E258" s="19">
        <v>169</v>
      </c>
      <c r="F258" s="20">
        <v>721.87</v>
      </c>
      <c r="G258" s="19">
        <v>7</v>
      </c>
      <c r="H258" s="20">
        <v>2373.8200000000002</v>
      </c>
      <c r="I258" s="21">
        <v>7.9046000000000003</v>
      </c>
      <c r="J258" s="21">
        <v>4.1420000000000003</v>
      </c>
      <c r="K258" s="22">
        <v>228.84</v>
      </c>
      <c r="L258" s="20">
        <v>103.12</v>
      </c>
    </row>
    <row r="259" spans="1:12" x14ac:dyDescent="0.3">
      <c r="A259" s="13" t="s">
        <v>194</v>
      </c>
      <c r="B259" s="9" t="s">
        <v>63</v>
      </c>
      <c r="C259" s="9" t="s">
        <v>64</v>
      </c>
      <c r="D259" s="14">
        <v>5550</v>
      </c>
      <c r="E259" s="14">
        <v>214</v>
      </c>
      <c r="F259" s="15">
        <v>908.92</v>
      </c>
      <c r="G259" s="14">
        <v>20</v>
      </c>
      <c r="H259" s="15">
        <v>2400.62</v>
      </c>
      <c r="I259" s="16">
        <v>3.8559000000000001</v>
      </c>
      <c r="J259" s="16">
        <v>9.3458000000000006</v>
      </c>
      <c r="K259" s="17">
        <v>164.12</v>
      </c>
      <c r="L259" s="15">
        <v>45.45</v>
      </c>
    </row>
    <row r="260" spans="1:12" ht="22.8" x14ac:dyDescent="0.3">
      <c r="A260" s="18" t="s">
        <v>274</v>
      </c>
      <c r="B260" s="5" t="s">
        <v>63</v>
      </c>
      <c r="C260" s="5" t="s">
        <v>91</v>
      </c>
      <c r="D260" s="19">
        <v>7485</v>
      </c>
      <c r="E260" s="19">
        <v>360</v>
      </c>
      <c r="F260" s="20">
        <v>1364.16</v>
      </c>
      <c r="G260" s="19">
        <v>22</v>
      </c>
      <c r="H260" s="20">
        <v>9666.4</v>
      </c>
      <c r="I260" s="21">
        <v>4.8095999999999997</v>
      </c>
      <c r="J260" s="21">
        <v>6.1111000000000004</v>
      </c>
      <c r="K260" s="22">
        <v>608.6</v>
      </c>
      <c r="L260" s="20">
        <v>62.01</v>
      </c>
    </row>
    <row r="261" spans="1:12" x14ac:dyDescent="0.3">
      <c r="A261" s="13" t="s">
        <v>275</v>
      </c>
      <c r="B261" s="9" t="s">
        <v>63</v>
      </c>
      <c r="C261" s="9" t="s">
        <v>64</v>
      </c>
      <c r="D261" s="14">
        <v>7341</v>
      </c>
      <c r="E261" s="14">
        <v>508</v>
      </c>
      <c r="F261" s="15">
        <v>1356.53</v>
      </c>
      <c r="G261" s="14">
        <v>19</v>
      </c>
      <c r="H261" s="15">
        <v>8587.8700000000008</v>
      </c>
      <c r="I261" s="16">
        <v>6.92</v>
      </c>
      <c r="J261" s="16">
        <v>3.7402000000000002</v>
      </c>
      <c r="K261" s="17">
        <v>533.08000000000004</v>
      </c>
      <c r="L261" s="15">
        <v>71.400000000000006</v>
      </c>
    </row>
    <row r="262" spans="1:12" x14ac:dyDescent="0.3">
      <c r="A262" s="18" t="s">
        <v>228</v>
      </c>
      <c r="B262" s="5" t="s">
        <v>63</v>
      </c>
      <c r="C262" s="5" t="s">
        <v>67</v>
      </c>
      <c r="D262" s="19">
        <v>995</v>
      </c>
      <c r="E262" s="19">
        <v>76</v>
      </c>
      <c r="F262" s="20">
        <v>233.97</v>
      </c>
      <c r="G262" s="19">
        <v>6</v>
      </c>
      <c r="H262" s="20">
        <v>2548.9499999999998</v>
      </c>
      <c r="I262" s="21">
        <v>7.6382000000000003</v>
      </c>
      <c r="J262" s="21">
        <v>7.8947000000000003</v>
      </c>
      <c r="K262" s="22">
        <v>989.43</v>
      </c>
      <c r="L262" s="20">
        <v>38.99</v>
      </c>
    </row>
    <row r="263" spans="1:12" x14ac:dyDescent="0.3">
      <c r="A263" s="13" t="s">
        <v>127</v>
      </c>
      <c r="B263" s="9" t="s">
        <v>63</v>
      </c>
      <c r="C263" s="9" t="s">
        <v>88</v>
      </c>
      <c r="D263" s="14">
        <v>5863</v>
      </c>
      <c r="E263" s="14">
        <v>0</v>
      </c>
      <c r="F263" s="15">
        <v>0</v>
      </c>
      <c r="G263" s="14">
        <v>18</v>
      </c>
      <c r="H263" s="15">
        <v>2801.79</v>
      </c>
      <c r="I263" s="16">
        <v>0</v>
      </c>
      <c r="J263" s="16">
        <v>0</v>
      </c>
      <c r="K263" s="17">
        <v>0</v>
      </c>
      <c r="L263" s="15">
        <v>0</v>
      </c>
    </row>
    <row r="264" spans="1:12" x14ac:dyDescent="0.3">
      <c r="A264" s="18" t="s">
        <v>276</v>
      </c>
      <c r="B264" s="5" t="s">
        <v>63</v>
      </c>
      <c r="C264" s="5" t="s">
        <v>69</v>
      </c>
      <c r="D264" s="19">
        <v>4413</v>
      </c>
      <c r="E264" s="19">
        <v>379</v>
      </c>
      <c r="F264" s="20">
        <v>1502.52</v>
      </c>
      <c r="G264" s="19">
        <v>13</v>
      </c>
      <c r="H264" s="20">
        <v>6143.29</v>
      </c>
      <c r="I264" s="21">
        <v>8.5883000000000003</v>
      </c>
      <c r="J264" s="21">
        <v>3.4300999999999999</v>
      </c>
      <c r="K264" s="22">
        <v>308.87</v>
      </c>
      <c r="L264" s="20">
        <v>115.58</v>
      </c>
    </row>
    <row r="265" spans="1:12" ht="22.8" x14ac:dyDescent="0.3">
      <c r="A265" s="13" t="s">
        <v>221</v>
      </c>
      <c r="B265" s="9" t="s">
        <v>63</v>
      </c>
      <c r="C265" s="9" t="s">
        <v>91</v>
      </c>
      <c r="D265" s="14">
        <v>7872</v>
      </c>
      <c r="E265" s="14">
        <v>346</v>
      </c>
      <c r="F265" s="15">
        <v>1518.45</v>
      </c>
      <c r="G265" s="14">
        <v>13</v>
      </c>
      <c r="H265" s="15">
        <v>2551.13</v>
      </c>
      <c r="I265" s="16">
        <v>4.3952999999999998</v>
      </c>
      <c r="J265" s="16">
        <v>3.7572000000000001</v>
      </c>
      <c r="K265" s="17">
        <v>68.010000000000005</v>
      </c>
      <c r="L265" s="15">
        <v>116.8</v>
      </c>
    </row>
    <row r="266" spans="1:12" x14ac:dyDescent="0.3">
      <c r="A266" s="18" t="s">
        <v>262</v>
      </c>
      <c r="B266" s="5" t="s">
        <v>63</v>
      </c>
      <c r="C266" s="5" t="s">
        <v>71</v>
      </c>
      <c r="D266" s="19">
        <v>942</v>
      </c>
      <c r="E266" s="19">
        <v>28</v>
      </c>
      <c r="F266" s="20">
        <v>57.79</v>
      </c>
      <c r="G266" s="19">
        <v>1</v>
      </c>
      <c r="H266" s="20">
        <v>253.52</v>
      </c>
      <c r="I266" s="21">
        <v>2.9723999999999999</v>
      </c>
      <c r="J266" s="21">
        <v>3.5714000000000001</v>
      </c>
      <c r="K266" s="22">
        <v>338.69</v>
      </c>
      <c r="L266" s="20">
        <v>57.79</v>
      </c>
    </row>
    <row r="267" spans="1:12" x14ac:dyDescent="0.3">
      <c r="A267" s="13" t="s">
        <v>176</v>
      </c>
      <c r="B267" s="9" t="s">
        <v>63</v>
      </c>
      <c r="C267" s="9"/>
      <c r="D267" s="14">
        <v>7839</v>
      </c>
      <c r="E267" s="14">
        <v>313</v>
      </c>
      <c r="F267" s="15">
        <v>1145.51</v>
      </c>
      <c r="G267" s="14">
        <v>23</v>
      </c>
      <c r="H267" s="15">
        <v>9869.99</v>
      </c>
      <c r="I267" s="16">
        <v>3.9929000000000001</v>
      </c>
      <c r="J267" s="16">
        <v>7.3482000000000003</v>
      </c>
      <c r="K267" s="17">
        <v>761.62</v>
      </c>
      <c r="L267" s="15">
        <v>49.8</v>
      </c>
    </row>
    <row r="268" spans="1:12" x14ac:dyDescent="0.3">
      <c r="A268" s="18" t="s">
        <v>206</v>
      </c>
      <c r="B268" s="5" t="s">
        <v>63</v>
      </c>
      <c r="C268" s="5" t="s">
        <v>83</v>
      </c>
      <c r="D268" s="19">
        <v>2048</v>
      </c>
      <c r="E268" s="19">
        <v>99</v>
      </c>
      <c r="F268" s="20">
        <v>215.42</v>
      </c>
      <c r="G268" s="19">
        <v>6</v>
      </c>
      <c r="H268" s="20">
        <v>0</v>
      </c>
      <c r="I268" s="21">
        <v>4.8339999999999996</v>
      </c>
      <c r="J268" s="21">
        <v>6.0606</v>
      </c>
      <c r="K268" s="22">
        <v>-100</v>
      </c>
      <c r="L268" s="20">
        <v>35.9</v>
      </c>
    </row>
    <row r="269" spans="1:12" x14ac:dyDescent="0.3">
      <c r="A269" s="13" t="s">
        <v>277</v>
      </c>
      <c r="B269" s="9" t="s">
        <v>63</v>
      </c>
      <c r="C269" s="9" t="s">
        <v>86</v>
      </c>
      <c r="D269" s="14">
        <v>5697</v>
      </c>
      <c r="E269" s="14">
        <v>215</v>
      </c>
      <c r="F269" s="15">
        <v>526.28</v>
      </c>
      <c r="G269" s="14">
        <v>15</v>
      </c>
      <c r="H269" s="15">
        <v>2182.56</v>
      </c>
      <c r="I269" s="16">
        <v>3.7738999999999998</v>
      </c>
      <c r="J269" s="16">
        <v>6.9767000000000001</v>
      </c>
      <c r="K269" s="17">
        <v>314.70999999999998</v>
      </c>
      <c r="L269" s="15">
        <v>35.090000000000003</v>
      </c>
    </row>
    <row r="270" spans="1:12" ht="22.8" x14ac:dyDescent="0.3">
      <c r="A270" s="18" t="s">
        <v>278</v>
      </c>
      <c r="B270" s="5" t="s">
        <v>63</v>
      </c>
      <c r="C270" s="5" t="s">
        <v>91</v>
      </c>
      <c r="D270" s="19">
        <v>7297</v>
      </c>
      <c r="E270" s="19">
        <v>481</v>
      </c>
      <c r="F270" s="20">
        <v>2077.27</v>
      </c>
      <c r="G270" s="19">
        <v>39</v>
      </c>
      <c r="H270" s="20">
        <v>5180.16</v>
      </c>
      <c r="I270" s="21">
        <v>6.5918000000000001</v>
      </c>
      <c r="J270" s="21">
        <v>8.1081000000000003</v>
      </c>
      <c r="K270" s="22">
        <v>149.37</v>
      </c>
      <c r="L270" s="20">
        <v>53.26</v>
      </c>
    </row>
    <row r="271" spans="1:12" x14ac:dyDescent="0.3">
      <c r="A271" s="13" t="s">
        <v>279</v>
      </c>
      <c r="B271" s="9" t="s">
        <v>63</v>
      </c>
      <c r="C271" s="9" t="s">
        <v>88</v>
      </c>
      <c r="D271" s="14">
        <v>2575</v>
      </c>
      <c r="E271" s="14">
        <v>215</v>
      </c>
      <c r="F271" s="15">
        <v>672.39</v>
      </c>
      <c r="G271" s="14">
        <v>19</v>
      </c>
      <c r="H271" s="15">
        <v>6103.22</v>
      </c>
      <c r="I271" s="16">
        <v>8.3495000000000008</v>
      </c>
      <c r="J271" s="16">
        <v>8.8371999999999993</v>
      </c>
      <c r="K271" s="17">
        <v>807.69</v>
      </c>
      <c r="L271" s="15">
        <v>35.39</v>
      </c>
    </row>
    <row r="272" spans="1:12" ht="22.8" x14ac:dyDescent="0.3">
      <c r="A272" s="18" t="s">
        <v>80</v>
      </c>
      <c r="B272" s="5" t="s">
        <v>63</v>
      </c>
      <c r="C272" s="5" t="s">
        <v>91</v>
      </c>
      <c r="D272" s="19">
        <v>769</v>
      </c>
      <c r="E272" s="19">
        <v>47</v>
      </c>
      <c r="F272" s="20">
        <v>151.52000000000001</v>
      </c>
      <c r="G272" s="19">
        <v>2</v>
      </c>
      <c r="H272" s="20">
        <v>622.54999999999995</v>
      </c>
      <c r="I272" s="21">
        <v>6.1117999999999997</v>
      </c>
      <c r="J272" s="21">
        <v>4.2553000000000001</v>
      </c>
      <c r="K272" s="22">
        <v>310.87</v>
      </c>
      <c r="L272" s="20">
        <v>75.760000000000005</v>
      </c>
    </row>
    <row r="273" spans="1:12" x14ac:dyDescent="0.3">
      <c r="A273" s="13" t="s">
        <v>156</v>
      </c>
      <c r="B273" s="9" t="s">
        <v>63</v>
      </c>
      <c r="C273" s="9" t="s">
        <v>67</v>
      </c>
      <c r="D273" s="14">
        <v>7271</v>
      </c>
      <c r="E273" s="14">
        <v>513</v>
      </c>
      <c r="F273" s="15">
        <v>1583.26</v>
      </c>
      <c r="G273" s="14">
        <v>35</v>
      </c>
      <c r="H273" s="15">
        <v>5464.8</v>
      </c>
      <c r="I273" s="16">
        <v>7.0553999999999997</v>
      </c>
      <c r="J273" s="16">
        <v>6.8226000000000004</v>
      </c>
      <c r="K273" s="17">
        <v>245.16</v>
      </c>
      <c r="L273" s="15">
        <v>45.24</v>
      </c>
    </row>
    <row r="274" spans="1:12" x14ac:dyDescent="0.3">
      <c r="A274" s="18" t="s">
        <v>240</v>
      </c>
      <c r="B274" s="5" t="s">
        <v>63</v>
      </c>
      <c r="C274" s="5" t="s">
        <v>115</v>
      </c>
      <c r="D274" s="19">
        <v>5213</v>
      </c>
      <c r="E274" s="19">
        <v>244</v>
      </c>
      <c r="F274" s="20">
        <v>810.46</v>
      </c>
      <c r="G274" s="19">
        <v>10</v>
      </c>
      <c r="H274" s="20">
        <v>1620.31</v>
      </c>
      <c r="I274" s="21">
        <v>4.6806000000000001</v>
      </c>
      <c r="J274" s="21">
        <v>4.0983999999999998</v>
      </c>
      <c r="K274" s="22">
        <v>99.92</v>
      </c>
      <c r="L274" s="20">
        <v>81.05</v>
      </c>
    </row>
    <row r="275" spans="1:12" x14ac:dyDescent="0.3">
      <c r="A275" s="13" t="s">
        <v>280</v>
      </c>
      <c r="B275" s="9" t="s">
        <v>63</v>
      </c>
      <c r="C275" s="9" t="s">
        <v>64</v>
      </c>
      <c r="D275" s="14">
        <v>3828</v>
      </c>
      <c r="E275" s="14">
        <v>139</v>
      </c>
      <c r="F275" s="15">
        <v>381.47</v>
      </c>
      <c r="G275" s="14">
        <v>8</v>
      </c>
      <c r="H275" s="15">
        <v>1525.97</v>
      </c>
      <c r="I275" s="16">
        <v>3.6311</v>
      </c>
      <c r="J275" s="16">
        <v>5.7553999999999998</v>
      </c>
      <c r="K275" s="17">
        <v>300.02</v>
      </c>
      <c r="L275" s="15">
        <v>47.68</v>
      </c>
    </row>
    <row r="276" spans="1:12" x14ac:dyDescent="0.3">
      <c r="A276" s="18" t="s">
        <v>281</v>
      </c>
      <c r="B276" s="5" t="s">
        <v>63</v>
      </c>
      <c r="C276" s="5" t="s">
        <v>67</v>
      </c>
      <c r="D276" s="19">
        <v>0</v>
      </c>
      <c r="E276" s="19">
        <v>398</v>
      </c>
      <c r="F276" s="20">
        <v>1067.45</v>
      </c>
      <c r="G276" s="19">
        <v>19</v>
      </c>
      <c r="H276" s="20">
        <v>6941.39</v>
      </c>
      <c r="I276" s="21">
        <v>0</v>
      </c>
      <c r="J276" s="21">
        <v>4.7739000000000003</v>
      </c>
      <c r="K276" s="22">
        <v>550.28</v>
      </c>
      <c r="L276" s="20">
        <v>56.18</v>
      </c>
    </row>
    <row r="277" spans="1:12" x14ac:dyDescent="0.3">
      <c r="A277" s="13" t="s">
        <v>282</v>
      </c>
      <c r="B277" s="9" t="s">
        <v>63</v>
      </c>
      <c r="C277" s="9" t="s">
        <v>71</v>
      </c>
      <c r="D277" s="14">
        <v>2421</v>
      </c>
      <c r="E277" s="14">
        <v>181</v>
      </c>
      <c r="F277" s="15">
        <v>243.56</v>
      </c>
      <c r="G277" s="14">
        <v>11</v>
      </c>
      <c r="H277" s="15">
        <v>3353.2</v>
      </c>
      <c r="I277" s="16">
        <v>7.4762000000000004</v>
      </c>
      <c r="J277" s="16">
        <v>6.0773000000000001</v>
      </c>
      <c r="K277" s="17">
        <v>1276.74</v>
      </c>
      <c r="L277" s="15">
        <v>22.14</v>
      </c>
    </row>
    <row r="278" spans="1:12" x14ac:dyDescent="0.3">
      <c r="A278" s="18" t="s">
        <v>234</v>
      </c>
      <c r="B278" s="5" t="s">
        <v>63</v>
      </c>
      <c r="C278" s="5" t="s">
        <v>83</v>
      </c>
      <c r="D278" s="19">
        <v>4283</v>
      </c>
      <c r="E278" s="19">
        <v>240</v>
      </c>
      <c r="F278" s="20">
        <v>279.77</v>
      </c>
      <c r="G278" s="19">
        <v>10</v>
      </c>
      <c r="H278" s="20">
        <v>3267.65</v>
      </c>
      <c r="I278" s="21">
        <v>5.6035000000000004</v>
      </c>
      <c r="J278" s="21">
        <v>4.1666999999999996</v>
      </c>
      <c r="K278" s="22">
        <v>1067.98</v>
      </c>
      <c r="L278" s="20">
        <v>27.98</v>
      </c>
    </row>
    <row r="279" spans="1:12" x14ac:dyDescent="0.3">
      <c r="A279" s="13" t="s">
        <v>135</v>
      </c>
      <c r="B279" s="9" t="s">
        <v>63</v>
      </c>
      <c r="C279" s="9" t="s">
        <v>67</v>
      </c>
      <c r="D279" s="14">
        <v>6001</v>
      </c>
      <c r="E279" s="14">
        <v>523</v>
      </c>
      <c r="F279" s="15">
        <v>1595.38</v>
      </c>
      <c r="G279" s="14">
        <v>29</v>
      </c>
      <c r="H279" s="15">
        <v>4600.71</v>
      </c>
      <c r="I279" s="16">
        <v>8.7151999999999994</v>
      </c>
      <c r="J279" s="16">
        <v>5.5449000000000002</v>
      </c>
      <c r="K279" s="17">
        <v>188.38</v>
      </c>
      <c r="L279" s="15">
        <v>55.01</v>
      </c>
    </row>
    <row r="280" spans="1:12" x14ac:dyDescent="0.3">
      <c r="A280" s="18" t="s">
        <v>283</v>
      </c>
      <c r="B280" s="5" t="s">
        <v>63</v>
      </c>
      <c r="C280" s="5" t="s">
        <v>69</v>
      </c>
      <c r="D280" s="19">
        <v>543</v>
      </c>
      <c r="E280" s="19">
        <v>0</v>
      </c>
      <c r="F280" s="20">
        <v>60.85</v>
      </c>
      <c r="G280" s="19">
        <v>1</v>
      </c>
      <c r="H280" s="20">
        <v>202.65</v>
      </c>
      <c r="I280" s="21">
        <v>0</v>
      </c>
      <c r="J280" s="21">
        <v>0</v>
      </c>
      <c r="K280" s="22">
        <v>233.03</v>
      </c>
      <c r="L280" s="20">
        <v>60.85</v>
      </c>
    </row>
    <row r="281" spans="1:12" x14ac:dyDescent="0.3">
      <c r="A281" s="13" t="s">
        <v>70</v>
      </c>
      <c r="B281" s="9" t="s">
        <v>63</v>
      </c>
      <c r="C281" s="9" t="s">
        <v>73</v>
      </c>
      <c r="D281" s="14">
        <v>2714</v>
      </c>
      <c r="E281" s="14">
        <v>221</v>
      </c>
      <c r="F281" s="15">
        <v>636.80999999999995</v>
      </c>
      <c r="G281" s="14">
        <v>7</v>
      </c>
      <c r="H281" s="15">
        <v>1730.98</v>
      </c>
      <c r="I281" s="16">
        <v>8.1430000000000007</v>
      </c>
      <c r="J281" s="16">
        <v>3.1674000000000002</v>
      </c>
      <c r="K281" s="17">
        <v>171.82</v>
      </c>
      <c r="L281" s="15">
        <v>90.97</v>
      </c>
    </row>
    <row r="282" spans="1:12" x14ac:dyDescent="0.3">
      <c r="A282" s="18" t="s">
        <v>284</v>
      </c>
      <c r="B282" s="5" t="s">
        <v>63</v>
      </c>
      <c r="C282" s="5"/>
      <c r="D282" s="19">
        <v>684</v>
      </c>
      <c r="E282" s="19">
        <v>60</v>
      </c>
      <c r="F282" s="20">
        <v>200.71</v>
      </c>
      <c r="G282" s="19">
        <v>1</v>
      </c>
      <c r="H282" s="20">
        <v>423.73</v>
      </c>
      <c r="I282" s="21">
        <v>8.7719000000000005</v>
      </c>
      <c r="J282" s="21">
        <v>1.6667000000000001</v>
      </c>
      <c r="K282" s="22">
        <v>111.12</v>
      </c>
      <c r="L282" s="20">
        <v>200.71</v>
      </c>
    </row>
    <row r="283" spans="1:12" ht="22.8" x14ac:dyDescent="0.3">
      <c r="A283" s="13" t="s">
        <v>280</v>
      </c>
      <c r="B283" s="9" t="s">
        <v>63</v>
      </c>
      <c r="C283" s="9" t="s">
        <v>91</v>
      </c>
      <c r="D283" s="14">
        <v>668</v>
      </c>
      <c r="E283" s="14">
        <v>26</v>
      </c>
      <c r="F283" s="15">
        <v>0</v>
      </c>
      <c r="G283" s="14">
        <v>0</v>
      </c>
      <c r="H283" s="15">
        <v>891.06</v>
      </c>
      <c r="I283" s="16">
        <v>3.8921999999999999</v>
      </c>
      <c r="J283" s="16">
        <v>0</v>
      </c>
      <c r="K283" s="17">
        <v>0</v>
      </c>
      <c r="L283" s="15">
        <v>0</v>
      </c>
    </row>
    <row r="284" spans="1:12" x14ac:dyDescent="0.3">
      <c r="A284" s="18" t="s">
        <v>285</v>
      </c>
      <c r="B284" s="5" t="s">
        <v>63</v>
      </c>
      <c r="C284" s="5" t="s">
        <v>69</v>
      </c>
      <c r="D284" s="19">
        <v>4398</v>
      </c>
      <c r="E284" s="19">
        <v>152</v>
      </c>
      <c r="F284" s="20">
        <v>139.9</v>
      </c>
      <c r="G284" s="19">
        <v>10</v>
      </c>
      <c r="H284" s="20">
        <v>1573.55</v>
      </c>
      <c r="I284" s="21">
        <v>3.4561000000000002</v>
      </c>
      <c r="J284" s="21">
        <v>6.5789</v>
      </c>
      <c r="K284" s="22">
        <v>1024.77</v>
      </c>
      <c r="L284" s="20">
        <v>13.99</v>
      </c>
    </row>
    <row r="285" spans="1:12" x14ac:dyDescent="0.3">
      <c r="A285" s="13" t="s">
        <v>286</v>
      </c>
      <c r="B285" s="9" t="s">
        <v>63</v>
      </c>
      <c r="C285" s="9" t="s">
        <v>73</v>
      </c>
      <c r="D285" s="14">
        <v>2440</v>
      </c>
      <c r="E285" s="14">
        <v>99</v>
      </c>
      <c r="F285" s="15">
        <v>135.97</v>
      </c>
      <c r="G285" s="14">
        <v>0</v>
      </c>
      <c r="H285" s="15">
        <v>1031.82</v>
      </c>
      <c r="I285" s="16">
        <v>4.0574000000000003</v>
      </c>
      <c r="J285" s="16">
        <v>0</v>
      </c>
      <c r="K285" s="17">
        <v>658.86</v>
      </c>
      <c r="L285" s="15">
        <v>0</v>
      </c>
    </row>
    <row r="286" spans="1:12" x14ac:dyDescent="0.3">
      <c r="A286" s="18" t="s">
        <v>287</v>
      </c>
      <c r="B286" s="5" t="s">
        <v>63</v>
      </c>
      <c r="C286" s="5" t="s">
        <v>83</v>
      </c>
      <c r="D286" s="19">
        <v>5472</v>
      </c>
      <c r="E286" s="19">
        <v>321</v>
      </c>
      <c r="F286" s="20">
        <v>929.84</v>
      </c>
      <c r="G286" s="19">
        <v>24</v>
      </c>
      <c r="H286" s="20">
        <v>7828.61</v>
      </c>
      <c r="I286" s="21">
        <v>5.8662000000000001</v>
      </c>
      <c r="J286" s="21">
        <v>7.4766000000000004</v>
      </c>
      <c r="K286" s="22">
        <v>741.93</v>
      </c>
      <c r="L286" s="20">
        <v>38.74</v>
      </c>
    </row>
    <row r="287" spans="1:12" x14ac:dyDescent="0.3">
      <c r="A287" s="13" t="s">
        <v>200</v>
      </c>
      <c r="B287" s="9" t="s">
        <v>63</v>
      </c>
      <c r="C287" s="9" t="s">
        <v>73</v>
      </c>
      <c r="D287" s="14">
        <v>1853</v>
      </c>
      <c r="E287" s="14">
        <v>0</v>
      </c>
      <c r="F287" s="15">
        <v>313.05</v>
      </c>
      <c r="G287" s="14">
        <v>6</v>
      </c>
      <c r="H287" s="15">
        <v>2082.14</v>
      </c>
      <c r="I287" s="16">
        <v>0</v>
      </c>
      <c r="J287" s="16">
        <v>0</v>
      </c>
      <c r="K287" s="17">
        <v>565.11</v>
      </c>
      <c r="L287" s="15">
        <v>52.18</v>
      </c>
    </row>
    <row r="288" spans="1:12" x14ac:dyDescent="0.3">
      <c r="A288" s="18" t="s">
        <v>266</v>
      </c>
      <c r="B288" s="5" t="s">
        <v>63</v>
      </c>
      <c r="C288" s="5" t="s">
        <v>69</v>
      </c>
      <c r="D288" s="19">
        <v>2211</v>
      </c>
      <c r="E288" s="19">
        <v>164</v>
      </c>
      <c r="F288" s="20">
        <v>340.33</v>
      </c>
      <c r="G288" s="19">
        <v>9</v>
      </c>
      <c r="H288" s="20">
        <v>3338.87</v>
      </c>
      <c r="I288" s="21">
        <v>7.4175000000000004</v>
      </c>
      <c r="J288" s="21">
        <v>5.4878</v>
      </c>
      <c r="K288" s="22">
        <v>881.07</v>
      </c>
      <c r="L288" s="20">
        <v>37.81</v>
      </c>
    </row>
    <row r="289" spans="1:12" x14ac:dyDescent="0.3">
      <c r="A289" s="13" t="s">
        <v>288</v>
      </c>
      <c r="B289" s="9" t="s">
        <v>63</v>
      </c>
      <c r="C289" s="9" t="s">
        <v>73</v>
      </c>
      <c r="D289" s="14">
        <v>1832</v>
      </c>
      <c r="E289" s="14">
        <v>140</v>
      </c>
      <c r="F289" s="15">
        <v>183.1</v>
      </c>
      <c r="G289" s="14">
        <v>6</v>
      </c>
      <c r="H289" s="15">
        <v>0</v>
      </c>
      <c r="I289" s="16">
        <v>7.6418999999999997</v>
      </c>
      <c r="J289" s="16">
        <v>4.2857000000000003</v>
      </c>
      <c r="K289" s="17">
        <v>-100</v>
      </c>
      <c r="L289" s="15">
        <v>30.52</v>
      </c>
    </row>
    <row r="290" spans="1:12" x14ac:dyDescent="0.3">
      <c r="A290" s="18" t="s">
        <v>197</v>
      </c>
      <c r="B290" s="5" t="s">
        <v>63</v>
      </c>
      <c r="C290" s="5" t="s">
        <v>71</v>
      </c>
      <c r="D290" s="19">
        <v>2152</v>
      </c>
      <c r="E290" s="19">
        <v>178</v>
      </c>
      <c r="F290" s="20">
        <v>0</v>
      </c>
      <c r="G290" s="19">
        <v>12</v>
      </c>
      <c r="H290" s="20">
        <v>2549.46</v>
      </c>
      <c r="I290" s="21">
        <v>8.2713999999999999</v>
      </c>
      <c r="J290" s="21">
        <v>6.7416</v>
      </c>
      <c r="K290" s="22">
        <v>0</v>
      </c>
      <c r="L290" s="20">
        <v>0</v>
      </c>
    </row>
    <row r="291" spans="1:12" x14ac:dyDescent="0.3">
      <c r="A291" s="13" t="s">
        <v>283</v>
      </c>
      <c r="B291" s="9" t="s">
        <v>63</v>
      </c>
      <c r="C291" s="9" t="s">
        <v>86</v>
      </c>
      <c r="D291" s="14">
        <v>7048</v>
      </c>
      <c r="E291" s="14">
        <v>564</v>
      </c>
      <c r="F291" s="15">
        <v>1001.22</v>
      </c>
      <c r="G291" s="14">
        <v>53</v>
      </c>
      <c r="H291" s="15">
        <v>15500.47</v>
      </c>
      <c r="I291" s="16">
        <v>8.0023</v>
      </c>
      <c r="J291" s="16">
        <v>9.3971999999999998</v>
      </c>
      <c r="K291" s="17">
        <v>1448.16</v>
      </c>
      <c r="L291" s="15">
        <v>18.89</v>
      </c>
    </row>
    <row r="292" spans="1:12" x14ac:dyDescent="0.3">
      <c r="A292" s="18" t="s">
        <v>162</v>
      </c>
      <c r="B292" s="5" t="s">
        <v>63</v>
      </c>
      <c r="C292" s="5" t="s">
        <v>115</v>
      </c>
      <c r="D292" s="19">
        <v>6283</v>
      </c>
      <c r="E292" s="19">
        <v>430</v>
      </c>
      <c r="F292" s="20">
        <v>1714.91</v>
      </c>
      <c r="G292" s="19">
        <v>32</v>
      </c>
      <c r="H292" s="20">
        <v>7212.61</v>
      </c>
      <c r="I292" s="21">
        <v>6.8438999999999997</v>
      </c>
      <c r="J292" s="21">
        <v>7.4419000000000004</v>
      </c>
      <c r="K292" s="22">
        <v>320.58</v>
      </c>
      <c r="L292" s="20">
        <v>53.59</v>
      </c>
    </row>
    <row r="293" spans="1:12" x14ac:dyDescent="0.3">
      <c r="A293" s="13" t="s">
        <v>289</v>
      </c>
      <c r="B293" s="9" t="s">
        <v>63</v>
      </c>
      <c r="C293" s="9" t="s">
        <v>73</v>
      </c>
      <c r="D293" s="14">
        <v>7717</v>
      </c>
      <c r="E293" s="14">
        <v>561</v>
      </c>
      <c r="F293" s="15">
        <v>1257.9000000000001</v>
      </c>
      <c r="G293" s="14">
        <v>18</v>
      </c>
      <c r="H293" s="15">
        <v>7734.96</v>
      </c>
      <c r="I293" s="16">
        <v>7.2697000000000003</v>
      </c>
      <c r="J293" s="16">
        <v>3.2086000000000001</v>
      </c>
      <c r="K293" s="17">
        <v>514.91</v>
      </c>
      <c r="L293" s="15">
        <v>69.88</v>
      </c>
    </row>
    <row r="294" spans="1:12" x14ac:dyDescent="0.3">
      <c r="A294" s="18" t="s">
        <v>272</v>
      </c>
      <c r="B294" s="5" t="s">
        <v>63</v>
      </c>
      <c r="C294" s="5" t="s">
        <v>83</v>
      </c>
      <c r="D294" s="19">
        <v>7846</v>
      </c>
      <c r="E294" s="19">
        <v>244</v>
      </c>
      <c r="F294" s="20">
        <v>0</v>
      </c>
      <c r="G294" s="19">
        <v>12</v>
      </c>
      <c r="H294" s="20">
        <v>1756.59</v>
      </c>
      <c r="I294" s="21">
        <v>3.1099000000000001</v>
      </c>
      <c r="J294" s="21">
        <v>4.9180000000000001</v>
      </c>
      <c r="K294" s="22">
        <v>0</v>
      </c>
      <c r="L294" s="20">
        <v>0</v>
      </c>
    </row>
    <row r="295" spans="1:12" x14ac:dyDescent="0.3">
      <c r="A295" s="13" t="s">
        <v>290</v>
      </c>
      <c r="B295" s="9" t="s">
        <v>63</v>
      </c>
      <c r="C295" s="9" t="s">
        <v>73</v>
      </c>
      <c r="D295" s="14">
        <v>4316</v>
      </c>
      <c r="E295" s="14">
        <v>187</v>
      </c>
      <c r="F295" s="15">
        <v>296.27999999999997</v>
      </c>
      <c r="G295" s="14">
        <v>17</v>
      </c>
      <c r="H295" s="15">
        <v>3849.93</v>
      </c>
      <c r="I295" s="16">
        <v>4.3327</v>
      </c>
      <c r="J295" s="16">
        <v>9.0908999999999995</v>
      </c>
      <c r="K295" s="17">
        <v>1199.42</v>
      </c>
      <c r="L295" s="15">
        <v>17.43</v>
      </c>
    </row>
    <row r="296" spans="1:12" x14ac:dyDescent="0.3">
      <c r="A296" s="18" t="s">
        <v>291</v>
      </c>
      <c r="B296" s="5" t="s">
        <v>63</v>
      </c>
      <c r="C296" s="5" t="s">
        <v>115</v>
      </c>
      <c r="D296" s="19">
        <v>3036</v>
      </c>
      <c r="E296" s="19">
        <v>230</v>
      </c>
      <c r="F296" s="20">
        <v>756.62</v>
      </c>
      <c r="G296" s="19">
        <v>15</v>
      </c>
      <c r="H296" s="20">
        <v>0</v>
      </c>
      <c r="I296" s="21">
        <v>7.5758000000000001</v>
      </c>
      <c r="J296" s="21">
        <v>6.5217000000000001</v>
      </c>
      <c r="K296" s="22">
        <v>-100</v>
      </c>
      <c r="L296" s="20">
        <v>50.44</v>
      </c>
    </row>
    <row r="297" spans="1:12" x14ac:dyDescent="0.3">
      <c r="A297" s="13" t="s">
        <v>292</v>
      </c>
      <c r="B297" s="9" t="s">
        <v>63</v>
      </c>
      <c r="C297" s="9"/>
      <c r="D297" s="14">
        <v>6994</v>
      </c>
      <c r="E297" s="14">
        <v>564</v>
      </c>
      <c r="F297" s="15">
        <v>2345.27</v>
      </c>
      <c r="G297" s="14">
        <v>49</v>
      </c>
      <c r="H297" s="15">
        <v>7883.28</v>
      </c>
      <c r="I297" s="16">
        <v>8.0640999999999998</v>
      </c>
      <c r="J297" s="16">
        <v>8.6879000000000008</v>
      </c>
      <c r="K297" s="17">
        <v>236.14</v>
      </c>
      <c r="L297" s="15">
        <v>47.86</v>
      </c>
    </row>
    <row r="298" spans="1:12" x14ac:dyDescent="0.3">
      <c r="A298" s="18" t="s">
        <v>293</v>
      </c>
      <c r="B298" s="5" t="s">
        <v>63</v>
      </c>
      <c r="C298" s="5" t="s">
        <v>73</v>
      </c>
      <c r="D298" s="19">
        <v>7638</v>
      </c>
      <c r="E298" s="19">
        <v>356</v>
      </c>
      <c r="F298" s="20">
        <v>824.13</v>
      </c>
      <c r="G298" s="19">
        <v>34</v>
      </c>
      <c r="H298" s="20">
        <v>11378.14</v>
      </c>
      <c r="I298" s="21">
        <v>4.6608999999999998</v>
      </c>
      <c r="J298" s="21">
        <v>9.5505999999999993</v>
      </c>
      <c r="K298" s="22">
        <v>1280.6199999999999</v>
      </c>
      <c r="L298" s="20">
        <v>24.24</v>
      </c>
    </row>
    <row r="299" spans="1:12" x14ac:dyDescent="0.3">
      <c r="A299" s="13" t="s">
        <v>276</v>
      </c>
      <c r="B299" s="9" t="s">
        <v>63</v>
      </c>
      <c r="C299" s="9" t="s">
        <v>64</v>
      </c>
      <c r="D299" s="14">
        <v>3922</v>
      </c>
      <c r="E299" s="14">
        <v>284</v>
      </c>
      <c r="F299" s="15">
        <v>1275.4000000000001</v>
      </c>
      <c r="G299" s="14">
        <v>11</v>
      </c>
      <c r="H299" s="15">
        <v>0</v>
      </c>
      <c r="I299" s="16">
        <v>7.2412000000000001</v>
      </c>
      <c r="J299" s="16">
        <v>3.8732000000000002</v>
      </c>
      <c r="K299" s="17">
        <v>-100</v>
      </c>
      <c r="L299" s="15">
        <v>115.95</v>
      </c>
    </row>
    <row r="300" spans="1:12" x14ac:dyDescent="0.3">
      <c r="A300" s="18" t="s">
        <v>294</v>
      </c>
      <c r="B300" s="5" t="s">
        <v>63</v>
      </c>
      <c r="C300" s="5" t="s">
        <v>83</v>
      </c>
      <c r="D300" s="19">
        <v>2375</v>
      </c>
      <c r="E300" s="19">
        <v>132</v>
      </c>
      <c r="F300" s="20">
        <v>430.19</v>
      </c>
      <c r="G300" s="19">
        <v>5</v>
      </c>
      <c r="H300" s="20">
        <v>1121.1199999999999</v>
      </c>
      <c r="I300" s="21">
        <v>5.5579000000000001</v>
      </c>
      <c r="J300" s="21">
        <v>3.7879</v>
      </c>
      <c r="K300" s="22">
        <v>160.61000000000001</v>
      </c>
      <c r="L300" s="20">
        <v>86.04</v>
      </c>
    </row>
    <row r="301" spans="1:12" x14ac:dyDescent="0.3">
      <c r="A301" s="13" t="s">
        <v>264</v>
      </c>
      <c r="B301" s="9" t="s">
        <v>63</v>
      </c>
      <c r="C301" s="9" t="s">
        <v>69</v>
      </c>
      <c r="D301" s="14">
        <v>0</v>
      </c>
      <c r="E301" s="14">
        <v>520</v>
      </c>
      <c r="F301" s="15">
        <v>1094.3</v>
      </c>
      <c r="G301" s="14">
        <v>33</v>
      </c>
      <c r="H301" s="15">
        <v>6903.68</v>
      </c>
      <c r="I301" s="16">
        <v>0</v>
      </c>
      <c r="J301" s="16">
        <v>6.3461999999999996</v>
      </c>
      <c r="K301" s="17">
        <v>530.88</v>
      </c>
      <c r="L301" s="15">
        <v>33.159999999999997</v>
      </c>
    </row>
    <row r="302" spans="1:12" x14ac:dyDescent="0.3">
      <c r="A302" s="18" t="s">
        <v>295</v>
      </c>
      <c r="B302" s="5" t="s">
        <v>63</v>
      </c>
      <c r="C302" s="5" t="s">
        <v>88</v>
      </c>
      <c r="D302" s="19">
        <v>7053</v>
      </c>
      <c r="E302" s="19">
        <v>493</v>
      </c>
      <c r="F302" s="20">
        <v>453.47</v>
      </c>
      <c r="G302" s="19">
        <v>42</v>
      </c>
      <c r="H302" s="20">
        <v>15805.64</v>
      </c>
      <c r="I302" s="21">
        <v>6.9898999999999996</v>
      </c>
      <c r="J302" s="21">
        <v>8.5192999999999994</v>
      </c>
      <c r="K302" s="22">
        <v>3385.49</v>
      </c>
      <c r="L302" s="20">
        <v>10.8</v>
      </c>
    </row>
    <row r="303" spans="1:12" ht="22.8" x14ac:dyDescent="0.3">
      <c r="A303" s="13" t="s">
        <v>161</v>
      </c>
      <c r="B303" s="9" t="s">
        <v>63</v>
      </c>
      <c r="C303" s="9" t="s">
        <v>91</v>
      </c>
      <c r="D303" s="14">
        <v>7767</v>
      </c>
      <c r="E303" s="14">
        <v>405</v>
      </c>
      <c r="F303" s="15">
        <v>1729.93</v>
      </c>
      <c r="G303" s="14">
        <v>30</v>
      </c>
      <c r="H303" s="15">
        <v>4352.6400000000003</v>
      </c>
      <c r="I303" s="16">
        <v>5.2144000000000004</v>
      </c>
      <c r="J303" s="16">
        <v>7.4074</v>
      </c>
      <c r="K303" s="17">
        <v>151.61000000000001</v>
      </c>
      <c r="L303" s="15">
        <v>57.66</v>
      </c>
    </row>
    <row r="304" spans="1:12" x14ac:dyDescent="0.3">
      <c r="A304" s="18" t="s">
        <v>254</v>
      </c>
      <c r="B304" s="5" t="s">
        <v>63</v>
      </c>
      <c r="C304" s="5" t="s">
        <v>83</v>
      </c>
      <c r="D304" s="19">
        <v>3460</v>
      </c>
      <c r="E304" s="19">
        <v>285</v>
      </c>
      <c r="F304" s="20">
        <v>1251.69</v>
      </c>
      <c r="G304" s="19">
        <v>10</v>
      </c>
      <c r="H304" s="20">
        <v>4102.5</v>
      </c>
      <c r="I304" s="21">
        <v>8.2370000000000001</v>
      </c>
      <c r="J304" s="21">
        <v>3.5087999999999999</v>
      </c>
      <c r="K304" s="22">
        <v>227.76</v>
      </c>
      <c r="L304" s="20">
        <v>125.17</v>
      </c>
    </row>
    <row r="305" spans="1:12" x14ac:dyDescent="0.3">
      <c r="A305" s="13" t="s">
        <v>296</v>
      </c>
      <c r="B305" s="9" t="s">
        <v>63</v>
      </c>
      <c r="C305" s="9" t="s">
        <v>69</v>
      </c>
      <c r="D305" s="14">
        <v>2363</v>
      </c>
      <c r="E305" s="14">
        <v>107</v>
      </c>
      <c r="F305" s="15">
        <v>203.96</v>
      </c>
      <c r="G305" s="14">
        <v>0</v>
      </c>
      <c r="H305" s="15">
        <v>0</v>
      </c>
      <c r="I305" s="16">
        <v>4.5281000000000002</v>
      </c>
      <c r="J305" s="16">
        <v>0</v>
      </c>
      <c r="K305" s="17">
        <v>-100</v>
      </c>
      <c r="L305" s="15">
        <v>0</v>
      </c>
    </row>
    <row r="306" spans="1:12" x14ac:dyDescent="0.3">
      <c r="A306" s="18" t="s">
        <v>297</v>
      </c>
      <c r="B306" s="5" t="s">
        <v>63</v>
      </c>
      <c r="C306" s="5" t="s">
        <v>73</v>
      </c>
      <c r="D306" s="19">
        <v>4286</v>
      </c>
      <c r="E306" s="19">
        <v>356</v>
      </c>
      <c r="F306" s="20">
        <v>1466.94</v>
      </c>
      <c r="G306" s="19">
        <v>23</v>
      </c>
      <c r="H306" s="20">
        <v>9698.57</v>
      </c>
      <c r="I306" s="21">
        <v>8.3061000000000007</v>
      </c>
      <c r="J306" s="21">
        <v>6.4607000000000001</v>
      </c>
      <c r="K306" s="22">
        <v>561.14</v>
      </c>
      <c r="L306" s="20">
        <v>63.78</v>
      </c>
    </row>
    <row r="307" spans="1:12" x14ac:dyDescent="0.3">
      <c r="A307" s="13" t="s">
        <v>298</v>
      </c>
      <c r="B307" s="9" t="s">
        <v>63</v>
      </c>
      <c r="C307" s="9" t="s">
        <v>88</v>
      </c>
      <c r="D307" s="14">
        <v>4955</v>
      </c>
      <c r="E307" s="14">
        <v>255</v>
      </c>
      <c r="F307" s="15">
        <v>666.57</v>
      </c>
      <c r="G307" s="14">
        <v>20</v>
      </c>
      <c r="H307" s="15">
        <v>4421.6400000000003</v>
      </c>
      <c r="I307" s="16">
        <v>5.1463000000000001</v>
      </c>
      <c r="J307" s="16">
        <v>7.8430999999999997</v>
      </c>
      <c r="K307" s="17">
        <v>563.34</v>
      </c>
      <c r="L307" s="15">
        <v>33.33</v>
      </c>
    </row>
    <row r="308" spans="1:12" x14ac:dyDescent="0.3">
      <c r="A308" s="18" t="s">
        <v>299</v>
      </c>
      <c r="B308" s="5" t="s">
        <v>63</v>
      </c>
      <c r="C308" s="5" t="s">
        <v>73</v>
      </c>
      <c r="D308" s="19">
        <v>4269.1054915817003</v>
      </c>
      <c r="E308" s="19">
        <v>309.89398330618502</v>
      </c>
      <c r="F308" s="20">
        <v>1188.8644285134999</v>
      </c>
      <c r="G308" s="19">
        <v>9.1193664553283007</v>
      </c>
      <c r="H308" s="20">
        <v>1219.18751962389</v>
      </c>
      <c r="I308" s="21">
        <v>7.2590000000000003</v>
      </c>
      <c r="J308" s="21">
        <v>2.9426999999999999</v>
      </c>
      <c r="K308" s="22">
        <v>2.5499999999999998</v>
      </c>
      <c r="L308" s="20">
        <v>130.37</v>
      </c>
    </row>
    <row r="309" spans="1:12" x14ac:dyDescent="0.3">
      <c r="A309" s="13" t="s">
        <v>246</v>
      </c>
      <c r="B309" s="9" t="s">
        <v>63</v>
      </c>
      <c r="C309" s="9" t="s">
        <v>88</v>
      </c>
      <c r="D309" s="14">
        <v>3037</v>
      </c>
      <c r="E309" s="14">
        <v>253</v>
      </c>
      <c r="F309" s="15">
        <v>303.20999999999998</v>
      </c>
      <c r="G309" s="14">
        <v>22</v>
      </c>
      <c r="H309" s="15">
        <v>9461.2900000000009</v>
      </c>
      <c r="I309" s="16">
        <v>8.3306000000000004</v>
      </c>
      <c r="J309" s="16">
        <v>8.6957000000000004</v>
      </c>
      <c r="K309" s="17">
        <v>3020.38</v>
      </c>
      <c r="L309" s="15">
        <v>13.78</v>
      </c>
    </row>
    <row r="310" spans="1:12" x14ac:dyDescent="0.3">
      <c r="A310" s="18" t="s">
        <v>247</v>
      </c>
      <c r="B310" s="5" t="s">
        <v>63</v>
      </c>
      <c r="C310" s="5" t="s">
        <v>71</v>
      </c>
      <c r="D310" s="19">
        <v>2492</v>
      </c>
      <c r="E310" s="19">
        <v>169</v>
      </c>
      <c r="F310" s="20">
        <v>171.2</v>
      </c>
      <c r="G310" s="19">
        <v>0</v>
      </c>
      <c r="H310" s="20">
        <v>0</v>
      </c>
      <c r="I310" s="21">
        <v>6.7816999999999998</v>
      </c>
      <c r="J310" s="21">
        <v>0</v>
      </c>
      <c r="K310" s="22">
        <v>-100</v>
      </c>
      <c r="L310" s="20">
        <v>0</v>
      </c>
    </row>
    <row r="311" spans="1:12" x14ac:dyDescent="0.3">
      <c r="A311" s="13" t="s">
        <v>300</v>
      </c>
      <c r="B311" s="9" t="s">
        <v>63</v>
      </c>
      <c r="C311" s="9" t="s">
        <v>115</v>
      </c>
      <c r="D311" s="14">
        <v>1479</v>
      </c>
      <c r="E311" s="14">
        <v>79</v>
      </c>
      <c r="F311" s="15">
        <v>123.81</v>
      </c>
      <c r="G311" s="14">
        <v>3</v>
      </c>
      <c r="H311" s="15">
        <v>1111.26</v>
      </c>
      <c r="I311" s="16">
        <v>5.3414000000000001</v>
      </c>
      <c r="J311" s="16">
        <v>3.7974999999999999</v>
      </c>
      <c r="K311" s="17">
        <v>797.55</v>
      </c>
      <c r="L311" s="15">
        <v>41.27</v>
      </c>
    </row>
    <row r="312" spans="1:12" x14ac:dyDescent="0.3">
      <c r="A312" s="18" t="s">
        <v>301</v>
      </c>
      <c r="B312" s="5" t="s">
        <v>63</v>
      </c>
      <c r="C312" s="5" t="s">
        <v>83</v>
      </c>
      <c r="D312" s="19">
        <v>2923</v>
      </c>
      <c r="E312" s="19">
        <v>112</v>
      </c>
      <c r="F312" s="20">
        <v>184.4</v>
      </c>
      <c r="G312" s="19">
        <v>10</v>
      </c>
      <c r="H312" s="20">
        <v>3439.63</v>
      </c>
      <c r="I312" s="21">
        <v>3.8317000000000001</v>
      </c>
      <c r="J312" s="21">
        <v>8.9285999999999994</v>
      </c>
      <c r="K312" s="22">
        <v>1765.31</v>
      </c>
      <c r="L312" s="20">
        <v>18.440000000000001</v>
      </c>
    </row>
    <row r="313" spans="1:12" x14ac:dyDescent="0.3">
      <c r="A313" s="13" t="s">
        <v>114</v>
      </c>
      <c r="B313" s="9" t="s">
        <v>63</v>
      </c>
      <c r="C313" s="9" t="s">
        <v>64</v>
      </c>
      <c r="D313" s="14">
        <v>6102</v>
      </c>
      <c r="E313" s="14">
        <v>514</v>
      </c>
      <c r="F313" s="15">
        <v>1940.73</v>
      </c>
      <c r="G313" s="14">
        <v>0</v>
      </c>
      <c r="H313" s="15">
        <v>6553.44</v>
      </c>
      <c r="I313" s="16">
        <v>8.4235000000000007</v>
      </c>
      <c r="J313" s="16">
        <v>0</v>
      </c>
      <c r="K313" s="17">
        <v>237.68</v>
      </c>
      <c r="L313" s="15">
        <v>0</v>
      </c>
    </row>
    <row r="314" spans="1:12" x14ac:dyDescent="0.3">
      <c r="A314" s="18" t="s">
        <v>177</v>
      </c>
      <c r="B314" s="5" t="s">
        <v>63</v>
      </c>
      <c r="C314" s="5" t="s">
        <v>83</v>
      </c>
      <c r="D314" s="19">
        <v>3106</v>
      </c>
      <c r="E314" s="19">
        <v>257</v>
      </c>
      <c r="F314" s="20">
        <v>534.63</v>
      </c>
      <c r="G314" s="19">
        <v>8</v>
      </c>
      <c r="H314" s="20">
        <v>3039.18</v>
      </c>
      <c r="I314" s="21">
        <v>8.2743000000000002</v>
      </c>
      <c r="J314" s="21">
        <v>3.1128</v>
      </c>
      <c r="K314" s="22">
        <v>468.46</v>
      </c>
      <c r="L314" s="20">
        <v>66.83</v>
      </c>
    </row>
    <row r="315" spans="1:12" x14ac:dyDescent="0.3">
      <c r="A315" s="13" t="s">
        <v>143</v>
      </c>
      <c r="B315" s="9" t="s">
        <v>63</v>
      </c>
      <c r="C315" s="9"/>
      <c r="D315" s="14">
        <v>2351</v>
      </c>
      <c r="E315" s="14">
        <v>155</v>
      </c>
      <c r="F315" s="15">
        <v>654.67999999999995</v>
      </c>
      <c r="G315" s="14">
        <v>10</v>
      </c>
      <c r="H315" s="15">
        <v>3255.93</v>
      </c>
      <c r="I315" s="16">
        <v>6.5929000000000002</v>
      </c>
      <c r="J315" s="16">
        <v>6.4516</v>
      </c>
      <c r="K315" s="17">
        <v>397.33</v>
      </c>
      <c r="L315" s="15">
        <v>65.47</v>
      </c>
    </row>
    <row r="316" spans="1:12" ht="22.8" x14ac:dyDescent="0.3">
      <c r="A316" s="18" t="s">
        <v>302</v>
      </c>
      <c r="B316" s="5" t="s">
        <v>63</v>
      </c>
      <c r="C316" s="5" t="s">
        <v>91</v>
      </c>
      <c r="D316" s="19">
        <v>6427</v>
      </c>
      <c r="E316" s="19">
        <v>396</v>
      </c>
      <c r="F316" s="20">
        <v>1050.1199999999999</v>
      </c>
      <c r="G316" s="19">
        <v>26</v>
      </c>
      <c r="H316" s="20">
        <v>10368.32</v>
      </c>
      <c r="I316" s="21">
        <v>6.1615000000000002</v>
      </c>
      <c r="J316" s="21">
        <v>6.5656999999999996</v>
      </c>
      <c r="K316" s="22">
        <v>887.35</v>
      </c>
      <c r="L316" s="20">
        <v>40.39</v>
      </c>
    </row>
    <row r="317" spans="1:12" x14ac:dyDescent="0.3">
      <c r="A317" s="13" t="s">
        <v>303</v>
      </c>
      <c r="B317" s="9" t="s">
        <v>63</v>
      </c>
      <c r="C317" s="9" t="s">
        <v>73</v>
      </c>
      <c r="D317" s="14">
        <v>4429</v>
      </c>
      <c r="E317" s="14">
        <v>353</v>
      </c>
      <c r="F317" s="15">
        <v>796.26</v>
      </c>
      <c r="G317" s="14">
        <v>34</v>
      </c>
      <c r="H317" s="15">
        <v>14700.46</v>
      </c>
      <c r="I317" s="16">
        <v>7.9702000000000002</v>
      </c>
      <c r="J317" s="16">
        <v>9.6317000000000004</v>
      </c>
      <c r="K317" s="17">
        <v>1746.19</v>
      </c>
      <c r="L317" s="15">
        <v>23.42</v>
      </c>
    </row>
    <row r="318" spans="1:12" x14ac:dyDescent="0.3">
      <c r="A318" s="18" t="s">
        <v>301</v>
      </c>
      <c r="B318" s="5" t="s">
        <v>63</v>
      </c>
      <c r="C318" s="5" t="s">
        <v>67</v>
      </c>
      <c r="D318" s="19">
        <v>2155.29513786694</v>
      </c>
      <c r="E318" s="19">
        <v>88.132061799808099</v>
      </c>
      <c r="F318" s="20">
        <v>314.12508132213202</v>
      </c>
      <c r="G318" s="19">
        <v>7.0816895528377701</v>
      </c>
      <c r="H318" s="20">
        <v>2737.4982541864101</v>
      </c>
      <c r="I318" s="21">
        <v>4.0891000000000002</v>
      </c>
      <c r="J318" s="21">
        <v>8.0352999999999994</v>
      </c>
      <c r="K318" s="22">
        <v>771.47</v>
      </c>
      <c r="L318" s="20">
        <v>44.36</v>
      </c>
    </row>
    <row r="319" spans="1:12" x14ac:dyDescent="0.3">
      <c r="A319" s="13" t="s">
        <v>241</v>
      </c>
      <c r="B319" s="9" t="s">
        <v>63</v>
      </c>
      <c r="C319" s="9" t="s">
        <v>67</v>
      </c>
      <c r="D319" s="14">
        <v>2457</v>
      </c>
      <c r="E319" s="14">
        <v>175</v>
      </c>
      <c r="F319" s="15">
        <v>171.13</v>
      </c>
      <c r="G319" s="14">
        <v>0</v>
      </c>
      <c r="H319" s="15">
        <v>5813.01</v>
      </c>
      <c r="I319" s="16">
        <v>7.1224999999999996</v>
      </c>
      <c r="J319" s="16">
        <v>0</v>
      </c>
      <c r="K319" s="17">
        <v>3296.84</v>
      </c>
      <c r="L319" s="15">
        <v>0</v>
      </c>
    </row>
    <row r="320" spans="1:12" x14ac:dyDescent="0.3">
      <c r="A320" s="18" t="s">
        <v>304</v>
      </c>
      <c r="B320" s="5" t="s">
        <v>63</v>
      </c>
      <c r="C320" s="5" t="s">
        <v>67</v>
      </c>
      <c r="D320" s="19">
        <v>7303</v>
      </c>
      <c r="E320" s="19">
        <v>300</v>
      </c>
      <c r="F320" s="20">
        <v>658.26</v>
      </c>
      <c r="G320" s="19">
        <v>23</v>
      </c>
      <c r="H320" s="20">
        <v>2801.61</v>
      </c>
      <c r="I320" s="21">
        <v>4.1078999999999999</v>
      </c>
      <c r="J320" s="21">
        <v>7.6666999999999996</v>
      </c>
      <c r="K320" s="22">
        <v>325.61</v>
      </c>
      <c r="L320" s="20">
        <v>28.62</v>
      </c>
    </row>
    <row r="321" spans="1:12" x14ac:dyDescent="0.3">
      <c r="A321" s="13" t="s">
        <v>301</v>
      </c>
      <c r="B321" s="9" t="s">
        <v>63</v>
      </c>
      <c r="C321" s="9" t="s">
        <v>115</v>
      </c>
      <c r="D321" s="14">
        <v>2092</v>
      </c>
      <c r="E321" s="14">
        <v>172</v>
      </c>
      <c r="F321" s="15">
        <v>754.11</v>
      </c>
      <c r="G321" s="14">
        <v>15</v>
      </c>
      <c r="H321" s="15">
        <v>6575.05</v>
      </c>
      <c r="I321" s="16">
        <v>8.2218</v>
      </c>
      <c r="J321" s="16">
        <v>8.7209000000000003</v>
      </c>
      <c r="K321" s="17">
        <v>771.9</v>
      </c>
      <c r="L321" s="15">
        <v>50.27</v>
      </c>
    </row>
    <row r="322" spans="1:12" x14ac:dyDescent="0.3">
      <c r="A322" s="18" t="s">
        <v>190</v>
      </c>
      <c r="B322" s="5" t="s">
        <v>63</v>
      </c>
      <c r="C322" s="5" t="s">
        <v>67</v>
      </c>
      <c r="D322" s="19">
        <v>2543</v>
      </c>
      <c r="E322" s="19">
        <v>83</v>
      </c>
      <c r="F322" s="20">
        <v>223.33</v>
      </c>
      <c r="G322" s="19">
        <v>3</v>
      </c>
      <c r="H322" s="20">
        <v>1369.69</v>
      </c>
      <c r="I322" s="21">
        <v>3.2639</v>
      </c>
      <c r="J322" s="21">
        <v>3.6145</v>
      </c>
      <c r="K322" s="22">
        <v>513.29999999999995</v>
      </c>
      <c r="L322" s="20">
        <v>74.44</v>
      </c>
    </row>
    <row r="323" spans="1:12" x14ac:dyDescent="0.3">
      <c r="A323" s="13" t="s">
        <v>301</v>
      </c>
      <c r="B323" s="9" t="s">
        <v>63</v>
      </c>
      <c r="C323" s="9" t="s">
        <v>69</v>
      </c>
      <c r="D323" s="14">
        <v>4534</v>
      </c>
      <c r="E323" s="14">
        <v>202</v>
      </c>
      <c r="F323" s="15">
        <v>680.49</v>
      </c>
      <c r="G323" s="14">
        <v>15</v>
      </c>
      <c r="H323" s="15">
        <v>4715.47</v>
      </c>
      <c r="I323" s="16">
        <v>4.4551999999999996</v>
      </c>
      <c r="J323" s="16">
        <v>7.4257</v>
      </c>
      <c r="K323" s="17">
        <v>592.95000000000005</v>
      </c>
      <c r="L323" s="15">
        <v>45.37</v>
      </c>
    </row>
    <row r="324" spans="1:12" x14ac:dyDescent="0.3">
      <c r="A324" s="18" t="s">
        <v>290</v>
      </c>
      <c r="B324" s="5" t="s">
        <v>63</v>
      </c>
      <c r="C324" s="5" t="s">
        <v>64</v>
      </c>
      <c r="D324" s="19">
        <v>3444</v>
      </c>
      <c r="E324" s="19">
        <v>134</v>
      </c>
      <c r="F324" s="20">
        <v>519.63</v>
      </c>
      <c r="G324" s="19">
        <v>4</v>
      </c>
      <c r="H324" s="20">
        <v>484.66</v>
      </c>
      <c r="I324" s="21">
        <v>3.8908</v>
      </c>
      <c r="J324" s="21">
        <v>2.9851000000000001</v>
      </c>
      <c r="K324" s="22">
        <v>-6.73</v>
      </c>
      <c r="L324" s="20">
        <v>129.91</v>
      </c>
    </row>
    <row r="325" spans="1:12" ht="22.8" x14ac:dyDescent="0.3">
      <c r="A325" s="13" t="s">
        <v>244</v>
      </c>
      <c r="B325" s="9" t="s">
        <v>63</v>
      </c>
      <c r="C325" s="9" t="s">
        <v>91</v>
      </c>
      <c r="D325" s="14">
        <v>4720</v>
      </c>
      <c r="E325" s="14">
        <v>403</v>
      </c>
      <c r="F325" s="15">
        <v>1526.1</v>
      </c>
      <c r="G325" s="14">
        <v>13</v>
      </c>
      <c r="H325" s="15">
        <v>4095.84</v>
      </c>
      <c r="I325" s="16">
        <v>8.5381</v>
      </c>
      <c r="J325" s="16">
        <v>3.2258</v>
      </c>
      <c r="K325" s="17">
        <v>168.39</v>
      </c>
      <c r="L325" s="15">
        <v>117.39</v>
      </c>
    </row>
    <row r="326" spans="1:12" x14ac:dyDescent="0.3">
      <c r="A326" s="18" t="s">
        <v>97</v>
      </c>
      <c r="B326" s="5" t="s">
        <v>63</v>
      </c>
      <c r="C326" s="5" t="s">
        <v>67</v>
      </c>
      <c r="D326" s="19">
        <v>7418</v>
      </c>
      <c r="E326" s="19">
        <v>0</v>
      </c>
      <c r="F326" s="20">
        <v>847.93</v>
      </c>
      <c r="G326" s="19">
        <v>31</v>
      </c>
      <c r="H326" s="20">
        <v>12727.43</v>
      </c>
      <c r="I326" s="21">
        <v>0</v>
      </c>
      <c r="J326" s="21">
        <v>0</v>
      </c>
      <c r="K326" s="22">
        <v>1401</v>
      </c>
      <c r="L326" s="20">
        <v>27.35</v>
      </c>
    </row>
    <row r="327" spans="1:12" x14ac:dyDescent="0.3">
      <c r="A327" s="13" t="s">
        <v>305</v>
      </c>
      <c r="B327" s="9" t="s">
        <v>63</v>
      </c>
      <c r="C327" s="9" t="s">
        <v>86</v>
      </c>
      <c r="D327" s="14">
        <v>0</v>
      </c>
      <c r="E327" s="14">
        <v>223</v>
      </c>
      <c r="F327" s="15">
        <v>906.1</v>
      </c>
      <c r="G327" s="14">
        <v>20</v>
      </c>
      <c r="H327" s="15">
        <v>7868.68</v>
      </c>
      <c r="I327" s="16">
        <v>0</v>
      </c>
      <c r="J327" s="16">
        <v>8.9686000000000003</v>
      </c>
      <c r="K327" s="17">
        <v>768.41</v>
      </c>
      <c r="L327" s="15">
        <v>45.3</v>
      </c>
    </row>
    <row r="328" spans="1:12" x14ac:dyDescent="0.3">
      <c r="A328" s="18" t="s">
        <v>187</v>
      </c>
      <c r="B328" s="5" t="s">
        <v>63</v>
      </c>
      <c r="C328" s="5" t="s">
        <v>86</v>
      </c>
      <c r="D328" s="19">
        <v>7495</v>
      </c>
      <c r="E328" s="19">
        <v>0</v>
      </c>
      <c r="F328" s="20">
        <v>2177.2199999999998</v>
      </c>
      <c r="G328" s="19">
        <v>28</v>
      </c>
      <c r="H328" s="20">
        <v>10973.66</v>
      </c>
      <c r="I328" s="21">
        <v>0</v>
      </c>
      <c r="J328" s="21">
        <v>0</v>
      </c>
      <c r="K328" s="22">
        <v>404.02</v>
      </c>
      <c r="L328" s="20">
        <v>77.760000000000005</v>
      </c>
    </row>
    <row r="329" spans="1:12" x14ac:dyDescent="0.3">
      <c r="A329" s="13" t="s">
        <v>179</v>
      </c>
      <c r="B329" s="9" t="s">
        <v>63</v>
      </c>
      <c r="C329" s="9" t="s">
        <v>88</v>
      </c>
      <c r="D329" s="14">
        <v>3976</v>
      </c>
      <c r="E329" s="14">
        <v>220</v>
      </c>
      <c r="F329" s="15">
        <v>456.06</v>
      </c>
      <c r="G329" s="14">
        <v>10</v>
      </c>
      <c r="H329" s="15">
        <v>1527.19</v>
      </c>
      <c r="I329" s="16">
        <v>5.5331999999999999</v>
      </c>
      <c r="J329" s="16">
        <v>4.5454999999999997</v>
      </c>
      <c r="K329" s="17">
        <v>234.87</v>
      </c>
      <c r="L329" s="15">
        <v>45.61</v>
      </c>
    </row>
    <row r="330" spans="1:12" x14ac:dyDescent="0.3">
      <c r="A330" s="18" t="s">
        <v>176</v>
      </c>
      <c r="B330" s="5" t="s">
        <v>63</v>
      </c>
      <c r="C330" s="5" t="s">
        <v>71</v>
      </c>
      <c r="D330" s="19">
        <v>6113</v>
      </c>
      <c r="E330" s="19">
        <v>513</v>
      </c>
      <c r="F330" s="20">
        <v>524.33000000000004</v>
      </c>
      <c r="G330" s="19">
        <v>42</v>
      </c>
      <c r="H330" s="20">
        <v>11889.96</v>
      </c>
      <c r="I330" s="21">
        <v>8.3919999999999995</v>
      </c>
      <c r="J330" s="21">
        <v>8.1870999999999992</v>
      </c>
      <c r="K330" s="22">
        <v>2167.65</v>
      </c>
      <c r="L330" s="20">
        <v>12.48</v>
      </c>
    </row>
    <row r="331" spans="1:12" x14ac:dyDescent="0.3">
      <c r="A331" s="13" t="s">
        <v>306</v>
      </c>
      <c r="B331" s="9" t="s">
        <v>63</v>
      </c>
      <c r="C331" s="9"/>
      <c r="D331" s="14">
        <v>7820</v>
      </c>
      <c r="E331" s="14">
        <v>657</v>
      </c>
      <c r="F331" s="15">
        <v>775.2</v>
      </c>
      <c r="G331" s="14">
        <v>57</v>
      </c>
      <c r="H331" s="15">
        <v>9585.41</v>
      </c>
      <c r="I331" s="16">
        <v>8.4015000000000004</v>
      </c>
      <c r="J331" s="16">
        <v>8.6758000000000006</v>
      </c>
      <c r="K331" s="17">
        <v>1136.51</v>
      </c>
      <c r="L331" s="15">
        <v>13.6</v>
      </c>
    </row>
    <row r="332" spans="1:12" x14ac:dyDescent="0.3">
      <c r="A332" s="18" t="s">
        <v>307</v>
      </c>
      <c r="B332" s="5" t="s">
        <v>63</v>
      </c>
      <c r="C332" s="5" t="s">
        <v>71</v>
      </c>
      <c r="D332" s="19">
        <v>2880</v>
      </c>
      <c r="E332" s="19">
        <v>141</v>
      </c>
      <c r="F332" s="20">
        <v>318.36</v>
      </c>
      <c r="G332" s="19">
        <v>12</v>
      </c>
      <c r="H332" s="20">
        <v>0</v>
      </c>
      <c r="I332" s="21">
        <v>4.8958000000000004</v>
      </c>
      <c r="J332" s="21">
        <v>8.5106000000000002</v>
      </c>
      <c r="K332" s="22">
        <v>-100</v>
      </c>
      <c r="L332" s="20">
        <v>26.53</v>
      </c>
    </row>
    <row r="333" spans="1:12" x14ac:dyDescent="0.3">
      <c r="A333" s="13" t="s">
        <v>308</v>
      </c>
      <c r="B333" s="9" t="s">
        <v>63</v>
      </c>
      <c r="C333" s="9" t="s">
        <v>115</v>
      </c>
      <c r="D333" s="14">
        <v>0</v>
      </c>
      <c r="E333" s="14">
        <v>0</v>
      </c>
      <c r="F333" s="15">
        <v>193.47</v>
      </c>
      <c r="G333" s="14">
        <v>1</v>
      </c>
      <c r="H333" s="15">
        <v>303.06</v>
      </c>
      <c r="I333" s="16">
        <v>0</v>
      </c>
      <c r="J333" s="16">
        <v>0</v>
      </c>
      <c r="K333" s="17">
        <v>56.64</v>
      </c>
      <c r="L333" s="15">
        <v>193.47</v>
      </c>
    </row>
    <row r="334" spans="1:12" x14ac:dyDescent="0.3">
      <c r="A334" s="18" t="s">
        <v>249</v>
      </c>
      <c r="B334" s="5" t="s">
        <v>63</v>
      </c>
      <c r="C334" s="5" t="s">
        <v>83</v>
      </c>
      <c r="D334" s="19">
        <v>2014</v>
      </c>
      <c r="E334" s="19">
        <v>66</v>
      </c>
      <c r="F334" s="20">
        <v>0</v>
      </c>
      <c r="G334" s="19">
        <v>2</v>
      </c>
      <c r="H334" s="20">
        <v>250.17</v>
      </c>
      <c r="I334" s="21">
        <v>3.2770999999999999</v>
      </c>
      <c r="J334" s="21">
        <v>3.0303</v>
      </c>
      <c r="K334" s="22">
        <v>0</v>
      </c>
      <c r="L334" s="20">
        <v>0</v>
      </c>
    </row>
    <row r="335" spans="1:12" x14ac:dyDescent="0.3">
      <c r="A335" s="13" t="s">
        <v>309</v>
      </c>
      <c r="B335" s="9" t="s">
        <v>63</v>
      </c>
      <c r="C335" s="9" t="s">
        <v>71</v>
      </c>
      <c r="D335" s="14">
        <v>6815</v>
      </c>
      <c r="E335" s="14">
        <v>243</v>
      </c>
      <c r="F335" s="15">
        <v>1006.06</v>
      </c>
      <c r="G335" s="14">
        <v>19</v>
      </c>
      <c r="H335" s="15">
        <v>6578.11</v>
      </c>
      <c r="I335" s="16">
        <v>3.5657000000000001</v>
      </c>
      <c r="J335" s="16">
        <v>7.8189000000000002</v>
      </c>
      <c r="K335" s="17">
        <v>553.85</v>
      </c>
      <c r="L335" s="15">
        <v>52.95</v>
      </c>
    </row>
    <row r="336" spans="1:12" x14ac:dyDescent="0.3">
      <c r="A336" s="18" t="s">
        <v>105</v>
      </c>
      <c r="B336" s="5" t="s">
        <v>63</v>
      </c>
      <c r="C336" s="5" t="s">
        <v>88</v>
      </c>
      <c r="D336" s="19">
        <v>5614</v>
      </c>
      <c r="E336" s="19">
        <v>218</v>
      </c>
      <c r="F336" s="20">
        <v>0</v>
      </c>
      <c r="G336" s="19">
        <v>12</v>
      </c>
      <c r="H336" s="20">
        <v>1631.88</v>
      </c>
      <c r="I336" s="21">
        <v>3.8831000000000002</v>
      </c>
      <c r="J336" s="21">
        <v>5.5045999999999999</v>
      </c>
      <c r="K336" s="22">
        <v>0</v>
      </c>
      <c r="L336" s="20">
        <v>0</v>
      </c>
    </row>
    <row r="337" spans="1:12" x14ac:dyDescent="0.3">
      <c r="A337" s="13" t="s">
        <v>169</v>
      </c>
      <c r="B337" s="9" t="s">
        <v>63</v>
      </c>
      <c r="C337" s="9" t="s">
        <v>69</v>
      </c>
      <c r="D337" s="14">
        <v>2153</v>
      </c>
      <c r="E337" s="14">
        <v>96</v>
      </c>
      <c r="F337" s="15">
        <v>206.76</v>
      </c>
      <c r="G337" s="14">
        <v>4</v>
      </c>
      <c r="H337" s="15">
        <v>825.55</v>
      </c>
      <c r="I337" s="16">
        <v>4.4588999999999999</v>
      </c>
      <c r="J337" s="16">
        <v>4.1666999999999996</v>
      </c>
      <c r="K337" s="17">
        <v>299.27999999999997</v>
      </c>
      <c r="L337" s="15">
        <v>51.69</v>
      </c>
    </row>
    <row r="338" spans="1:12" x14ac:dyDescent="0.3">
      <c r="A338" s="18" t="s">
        <v>310</v>
      </c>
      <c r="B338" s="5" t="s">
        <v>63</v>
      </c>
      <c r="C338" s="5" t="s">
        <v>86</v>
      </c>
      <c r="D338" s="19">
        <v>7904</v>
      </c>
      <c r="E338" s="19">
        <v>267</v>
      </c>
      <c r="F338" s="20">
        <v>0</v>
      </c>
      <c r="G338" s="19">
        <v>22</v>
      </c>
      <c r="H338" s="20">
        <v>3043.05</v>
      </c>
      <c r="I338" s="21">
        <v>3.3780000000000001</v>
      </c>
      <c r="J338" s="21">
        <v>8.2396999999999991</v>
      </c>
      <c r="K338" s="22">
        <v>0</v>
      </c>
      <c r="L338" s="20">
        <v>0</v>
      </c>
    </row>
    <row r="339" spans="1:12" x14ac:dyDescent="0.3">
      <c r="A339" s="13" t="s">
        <v>225</v>
      </c>
      <c r="B339" s="9" t="s">
        <v>63</v>
      </c>
      <c r="C339" s="9" t="s">
        <v>64</v>
      </c>
      <c r="D339" s="14">
        <v>6225</v>
      </c>
      <c r="E339" s="14">
        <v>399</v>
      </c>
      <c r="F339" s="15">
        <v>1291.79</v>
      </c>
      <c r="G339" s="14">
        <v>32</v>
      </c>
      <c r="H339" s="15">
        <v>13740.93</v>
      </c>
      <c r="I339" s="16">
        <v>6.4096000000000002</v>
      </c>
      <c r="J339" s="16">
        <v>8.0200999999999993</v>
      </c>
      <c r="K339" s="17">
        <v>963.71</v>
      </c>
      <c r="L339" s="15">
        <v>40.369999999999997</v>
      </c>
    </row>
    <row r="340" spans="1:12" x14ac:dyDescent="0.3">
      <c r="A340" s="18" t="s">
        <v>108</v>
      </c>
      <c r="B340" s="5" t="s">
        <v>63</v>
      </c>
      <c r="C340" s="5" t="s">
        <v>69</v>
      </c>
      <c r="D340" s="19">
        <v>7667</v>
      </c>
      <c r="E340" s="19">
        <v>628</v>
      </c>
      <c r="F340" s="20">
        <v>1154.55</v>
      </c>
      <c r="G340" s="19">
        <v>25</v>
      </c>
      <c r="H340" s="20">
        <v>11272.91</v>
      </c>
      <c r="I340" s="21">
        <v>8.1908999999999992</v>
      </c>
      <c r="J340" s="21">
        <v>3.9809000000000001</v>
      </c>
      <c r="K340" s="22">
        <v>876.39</v>
      </c>
      <c r="L340" s="20">
        <v>46.18</v>
      </c>
    </row>
    <row r="341" spans="1:12" x14ac:dyDescent="0.3">
      <c r="A341" s="13" t="s">
        <v>249</v>
      </c>
      <c r="B341" s="9" t="s">
        <v>63</v>
      </c>
      <c r="C341" s="9" t="s">
        <v>69</v>
      </c>
      <c r="D341" s="14">
        <v>7966</v>
      </c>
      <c r="E341" s="14">
        <v>0</v>
      </c>
      <c r="F341" s="15">
        <v>1007.67</v>
      </c>
      <c r="G341" s="14">
        <v>52</v>
      </c>
      <c r="H341" s="15">
        <v>21258.85</v>
      </c>
      <c r="I341" s="16">
        <v>0</v>
      </c>
      <c r="J341" s="16">
        <v>0</v>
      </c>
      <c r="K341" s="17">
        <v>2009.7</v>
      </c>
      <c r="L341" s="15">
        <v>19.38</v>
      </c>
    </row>
    <row r="342" spans="1:12" x14ac:dyDescent="0.3">
      <c r="A342" s="18" t="s">
        <v>311</v>
      </c>
      <c r="B342" s="5" t="s">
        <v>63</v>
      </c>
      <c r="C342" s="5" t="s">
        <v>67</v>
      </c>
      <c r="D342" s="19">
        <v>609.55102518170395</v>
      </c>
      <c r="E342" s="19">
        <v>18.9901161403664</v>
      </c>
      <c r="F342" s="20">
        <v>21.406861535216599</v>
      </c>
      <c r="G342" s="19">
        <v>0</v>
      </c>
      <c r="H342" s="20">
        <v>0</v>
      </c>
      <c r="I342" s="21">
        <v>3.1154000000000002</v>
      </c>
      <c r="J342" s="21">
        <v>0</v>
      </c>
      <c r="K342" s="22">
        <v>-100</v>
      </c>
      <c r="L342" s="20">
        <v>0</v>
      </c>
    </row>
    <row r="343" spans="1:12" x14ac:dyDescent="0.3">
      <c r="A343" s="13" t="s">
        <v>312</v>
      </c>
      <c r="B343" s="9" t="s">
        <v>63</v>
      </c>
      <c r="C343" s="9" t="s">
        <v>67</v>
      </c>
      <c r="D343" s="14">
        <v>6863</v>
      </c>
      <c r="E343" s="14">
        <v>0</v>
      </c>
      <c r="F343" s="15">
        <v>1913.69</v>
      </c>
      <c r="G343" s="14">
        <v>28</v>
      </c>
      <c r="H343" s="15">
        <v>4268.25</v>
      </c>
      <c r="I343" s="16">
        <v>0</v>
      </c>
      <c r="J343" s="16">
        <v>0</v>
      </c>
      <c r="K343" s="17">
        <v>123.04</v>
      </c>
      <c r="L343" s="15">
        <v>68.349999999999994</v>
      </c>
    </row>
    <row r="344" spans="1:12" x14ac:dyDescent="0.3">
      <c r="A344" s="18" t="s">
        <v>140</v>
      </c>
      <c r="B344" s="5" t="s">
        <v>63</v>
      </c>
      <c r="C344" s="5" t="s">
        <v>71</v>
      </c>
      <c r="D344" s="19">
        <v>2016</v>
      </c>
      <c r="E344" s="19">
        <v>123</v>
      </c>
      <c r="F344" s="20">
        <v>227.67</v>
      </c>
      <c r="G344" s="19">
        <v>11</v>
      </c>
      <c r="H344" s="20">
        <v>5277.75</v>
      </c>
      <c r="I344" s="21">
        <v>6.1012000000000004</v>
      </c>
      <c r="J344" s="21">
        <v>8.9430999999999994</v>
      </c>
      <c r="K344" s="22">
        <v>2218.16</v>
      </c>
      <c r="L344" s="20">
        <v>20.7</v>
      </c>
    </row>
    <row r="345" spans="1:12" x14ac:dyDescent="0.3">
      <c r="A345" s="13" t="s">
        <v>313</v>
      </c>
      <c r="B345" s="9" t="s">
        <v>63</v>
      </c>
      <c r="C345" s="9" t="s">
        <v>69</v>
      </c>
      <c r="D345" s="14">
        <v>7421</v>
      </c>
      <c r="E345" s="14">
        <v>430</v>
      </c>
      <c r="F345" s="15">
        <v>1145.32</v>
      </c>
      <c r="G345" s="14">
        <v>35</v>
      </c>
      <c r="H345" s="15">
        <v>8459.2099999999991</v>
      </c>
      <c r="I345" s="16">
        <v>5.7944000000000004</v>
      </c>
      <c r="J345" s="16">
        <v>8.1395</v>
      </c>
      <c r="K345" s="17">
        <v>638.59</v>
      </c>
      <c r="L345" s="15">
        <v>32.72</v>
      </c>
    </row>
    <row r="346" spans="1:12" x14ac:dyDescent="0.3">
      <c r="A346" s="18" t="s">
        <v>311</v>
      </c>
      <c r="B346" s="5" t="s">
        <v>63</v>
      </c>
      <c r="C346" s="5" t="s">
        <v>88</v>
      </c>
      <c r="D346" s="19">
        <v>0</v>
      </c>
      <c r="E346" s="19">
        <v>559</v>
      </c>
      <c r="F346" s="20">
        <v>1860.29</v>
      </c>
      <c r="G346" s="19">
        <v>38</v>
      </c>
      <c r="H346" s="20">
        <v>4816.3999999999996</v>
      </c>
      <c r="I346" s="21">
        <v>0</v>
      </c>
      <c r="J346" s="21">
        <v>6.7979000000000003</v>
      </c>
      <c r="K346" s="22">
        <v>158.91</v>
      </c>
      <c r="L346" s="20">
        <v>48.96</v>
      </c>
    </row>
    <row r="347" spans="1:12" x14ac:dyDescent="0.3">
      <c r="A347" s="13" t="s">
        <v>259</v>
      </c>
      <c r="B347" s="9" t="s">
        <v>63</v>
      </c>
      <c r="C347" s="9" t="s">
        <v>69</v>
      </c>
      <c r="D347" s="14">
        <v>4139</v>
      </c>
      <c r="E347" s="14">
        <v>198</v>
      </c>
      <c r="F347" s="15">
        <v>604.85</v>
      </c>
      <c r="G347" s="14">
        <v>17</v>
      </c>
      <c r="H347" s="15">
        <v>5154.83</v>
      </c>
      <c r="I347" s="16">
        <v>4.7838000000000003</v>
      </c>
      <c r="J347" s="16">
        <v>8.5859000000000005</v>
      </c>
      <c r="K347" s="17">
        <v>752.25</v>
      </c>
      <c r="L347" s="15">
        <v>35.58</v>
      </c>
    </row>
    <row r="348" spans="1:12" ht="22.8" x14ac:dyDescent="0.3">
      <c r="A348" s="18" t="s">
        <v>282</v>
      </c>
      <c r="B348" s="5" t="s">
        <v>63</v>
      </c>
      <c r="C348" s="5" t="s">
        <v>91</v>
      </c>
      <c r="D348" s="19">
        <v>6403</v>
      </c>
      <c r="E348" s="19">
        <v>294</v>
      </c>
      <c r="F348" s="20">
        <v>0</v>
      </c>
      <c r="G348" s="19">
        <v>15</v>
      </c>
      <c r="H348" s="20">
        <v>5190.45</v>
      </c>
      <c r="I348" s="21">
        <v>4.5915999999999997</v>
      </c>
      <c r="J348" s="21">
        <v>5.1020000000000003</v>
      </c>
      <c r="K348" s="22">
        <v>0</v>
      </c>
      <c r="L348" s="20">
        <v>0</v>
      </c>
    </row>
    <row r="349" spans="1:12" x14ac:dyDescent="0.3">
      <c r="A349" s="13" t="s">
        <v>314</v>
      </c>
      <c r="B349" s="9" t="s">
        <v>63</v>
      </c>
      <c r="C349" s="9" t="s">
        <v>115</v>
      </c>
      <c r="D349" s="14">
        <v>6264</v>
      </c>
      <c r="E349" s="14">
        <v>366</v>
      </c>
      <c r="F349" s="15">
        <v>516.37</v>
      </c>
      <c r="G349" s="14">
        <v>23</v>
      </c>
      <c r="H349" s="15">
        <v>2871.87</v>
      </c>
      <c r="I349" s="16">
        <v>5.8429000000000002</v>
      </c>
      <c r="J349" s="16">
        <v>6.2842000000000002</v>
      </c>
      <c r="K349" s="17">
        <v>456.17</v>
      </c>
      <c r="L349" s="15">
        <v>22.45</v>
      </c>
    </row>
    <row r="350" spans="1:12" x14ac:dyDescent="0.3">
      <c r="A350" s="18" t="s">
        <v>315</v>
      </c>
      <c r="B350" s="5" t="s">
        <v>63</v>
      </c>
      <c r="C350" s="5"/>
      <c r="D350" s="19">
        <v>7769</v>
      </c>
      <c r="E350" s="19">
        <v>527</v>
      </c>
      <c r="F350" s="20">
        <v>2300.09</v>
      </c>
      <c r="G350" s="19">
        <v>19</v>
      </c>
      <c r="H350" s="20">
        <v>3323.81</v>
      </c>
      <c r="I350" s="21">
        <v>6.7834000000000003</v>
      </c>
      <c r="J350" s="21">
        <v>3.6053000000000002</v>
      </c>
      <c r="K350" s="22">
        <v>44.51</v>
      </c>
      <c r="L350" s="20">
        <v>121.06</v>
      </c>
    </row>
    <row r="351" spans="1:12" x14ac:dyDescent="0.3">
      <c r="A351" s="13" t="s">
        <v>190</v>
      </c>
      <c r="B351" s="9" t="s">
        <v>63</v>
      </c>
      <c r="C351" s="9" t="s">
        <v>115</v>
      </c>
      <c r="D351" s="14">
        <v>3314</v>
      </c>
      <c r="E351" s="14">
        <v>128</v>
      </c>
      <c r="F351" s="15">
        <v>121.55</v>
      </c>
      <c r="G351" s="14">
        <v>4</v>
      </c>
      <c r="H351" s="15">
        <v>908.34</v>
      </c>
      <c r="I351" s="16">
        <v>3.8624000000000001</v>
      </c>
      <c r="J351" s="16">
        <v>3.125</v>
      </c>
      <c r="K351" s="17">
        <v>647.29999999999995</v>
      </c>
      <c r="L351" s="15">
        <v>30.39</v>
      </c>
    </row>
    <row r="352" spans="1:12" x14ac:dyDescent="0.3">
      <c r="A352" s="18" t="s">
        <v>260</v>
      </c>
      <c r="B352" s="5" t="s">
        <v>63</v>
      </c>
      <c r="C352" s="5" t="s">
        <v>64</v>
      </c>
      <c r="D352" s="19">
        <v>7113</v>
      </c>
      <c r="E352" s="19">
        <v>515</v>
      </c>
      <c r="F352" s="20">
        <v>1095.29</v>
      </c>
      <c r="G352" s="19">
        <v>38</v>
      </c>
      <c r="H352" s="20">
        <v>5068.9399999999996</v>
      </c>
      <c r="I352" s="21">
        <v>7.2403000000000004</v>
      </c>
      <c r="J352" s="21">
        <v>7.3785999999999996</v>
      </c>
      <c r="K352" s="22">
        <v>362.79</v>
      </c>
      <c r="L352" s="20">
        <v>28.82</v>
      </c>
    </row>
    <row r="353" spans="1:12" x14ac:dyDescent="0.3">
      <c r="A353" s="13" t="s">
        <v>316</v>
      </c>
      <c r="B353" s="9" t="s">
        <v>63</v>
      </c>
      <c r="C353" s="9" t="s">
        <v>73</v>
      </c>
      <c r="D353" s="14">
        <v>7685</v>
      </c>
      <c r="E353" s="14">
        <v>0</v>
      </c>
      <c r="F353" s="15">
        <v>889.66</v>
      </c>
      <c r="G353" s="14">
        <v>28</v>
      </c>
      <c r="H353" s="15">
        <v>11993.54</v>
      </c>
      <c r="I353" s="16">
        <v>0</v>
      </c>
      <c r="J353" s="16">
        <v>0</v>
      </c>
      <c r="K353" s="17">
        <v>1248.0999999999999</v>
      </c>
      <c r="L353" s="15">
        <v>31.77</v>
      </c>
    </row>
    <row r="354" spans="1:12" x14ac:dyDescent="0.3">
      <c r="A354" s="18" t="s">
        <v>116</v>
      </c>
      <c r="B354" s="5" t="s">
        <v>63</v>
      </c>
      <c r="C354" s="5" t="s">
        <v>88</v>
      </c>
      <c r="D354" s="19">
        <v>6838</v>
      </c>
      <c r="E354" s="19">
        <v>326</v>
      </c>
      <c r="F354" s="20">
        <v>1335.8</v>
      </c>
      <c r="G354" s="19">
        <v>29</v>
      </c>
      <c r="H354" s="20">
        <v>10612.32</v>
      </c>
      <c r="I354" s="21">
        <v>4.7675000000000001</v>
      </c>
      <c r="J354" s="21">
        <v>8.8956999999999997</v>
      </c>
      <c r="K354" s="22">
        <v>694.45</v>
      </c>
      <c r="L354" s="20">
        <v>46.06</v>
      </c>
    </row>
    <row r="355" spans="1:12" x14ac:dyDescent="0.3">
      <c r="A355" s="13" t="s">
        <v>105</v>
      </c>
      <c r="B355" s="9" t="s">
        <v>63</v>
      </c>
      <c r="C355" s="9" t="s">
        <v>83</v>
      </c>
      <c r="D355" s="14">
        <v>6575</v>
      </c>
      <c r="E355" s="14">
        <v>507</v>
      </c>
      <c r="F355" s="15">
        <v>1433.88</v>
      </c>
      <c r="G355" s="14">
        <v>39</v>
      </c>
      <c r="H355" s="15">
        <v>10774.84</v>
      </c>
      <c r="I355" s="16">
        <v>7.7110000000000003</v>
      </c>
      <c r="J355" s="16">
        <v>7.6923000000000004</v>
      </c>
      <c r="K355" s="17">
        <v>651.45000000000005</v>
      </c>
      <c r="L355" s="15">
        <v>36.770000000000003</v>
      </c>
    </row>
    <row r="356" spans="1:12" x14ac:dyDescent="0.3">
      <c r="A356" s="18" t="s">
        <v>140</v>
      </c>
      <c r="B356" s="5" t="s">
        <v>63</v>
      </c>
      <c r="C356" s="5" t="s">
        <v>83</v>
      </c>
      <c r="D356" s="19">
        <v>5837.6755889082497</v>
      </c>
      <c r="E356" s="19">
        <v>434.621539296202</v>
      </c>
      <c r="F356" s="20">
        <v>973.84529152346499</v>
      </c>
      <c r="G356" s="19">
        <v>16.8644445525793</v>
      </c>
      <c r="H356" s="20">
        <v>8262.4084982258391</v>
      </c>
      <c r="I356" s="21">
        <v>7.4451000000000001</v>
      </c>
      <c r="J356" s="21">
        <v>3.8803000000000001</v>
      </c>
      <c r="K356" s="22">
        <v>748.43</v>
      </c>
      <c r="L356" s="20">
        <v>57.75</v>
      </c>
    </row>
    <row r="357" spans="1:12" x14ac:dyDescent="0.3">
      <c r="A357" s="13" t="s">
        <v>317</v>
      </c>
      <c r="B357" s="9" t="s">
        <v>63</v>
      </c>
      <c r="C357" s="9" t="s">
        <v>67</v>
      </c>
      <c r="D357" s="14">
        <v>4649</v>
      </c>
      <c r="E357" s="14">
        <v>258</v>
      </c>
      <c r="F357" s="15">
        <v>334.42</v>
      </c>
      <c r="G357" s="14">
        <v>23</v>
      </c>
      <c r="H357" s="15">
        <v>4138.71</v>
      </c>
      <c r="I357" s="16">
        <v>5.5495999999999999</v>
      </c>
      <c r="J357" s="16">
        <v>8.9146999999999998</v>
      </c>
      <c r="K357" s="17">
        <v>1137.58</v>
      </c>
      <c r="L357" s="15">
        <v>14.54</v>
      </c>
    </row>
    <row r="358" spans="1:12" x14ac:dyDescent="0.3">
      <c r="A358" s="18" t="s">
        <v>318</v>
      </c>
      <c r="B358" s="5" t="s">
        <v>63</v>
      </c>
      <c r="C358" s="5" t="s">
        <v>88</v>
      </c>
      <c r="D358" s="19">
        <v>1294</v>
      </c>
      <c r="E358" s="19">
        <v>102</v>
      </c>
      <c r="F358" s="20">
        <v>190.63</v>
      </c>
      <c r="G358" s="19">
        <v>7</v>
      </c>
      <c r="H358" s="20">
        <v>2409.7199999999998</v>
      </c>
      <c r="I358" s="21">
        <v>7.8825000000000003</v>
      </c>
      <c r="J358" s="21">
        <v>6.8627000000000002</v>
      </c>
      <c r="K358" s="22">
        <v>1164.08</v>
      </c>
      <c r="L358" s="20">
        <v>27.23</v>
      </c>
    </row>
    <row r="359" spans="1:12" x14ac:dyDescent="0.3">
      <c r="A359" s="13" t="s">
        <v>152</v>
      </c>
      <c r="B359" s="9" t="s">
        <v>63</v>
      </c>
      <c r="C359" s="9" t="s">
        <v>83</v>
      </c>
      <c r="D359" s="14">
        <v>4463</v>
      </c>
      <c r="E359" s="14">
        <v>322</v>
      </c>
      <c r="F359" s="15">
        <v>1371.53</v>
      </c>
      <c r="G359" s="14">
        <v>0</v>
      </c>
      <c r="H359" s="15">
        <v>3838.25</v>
      </c>
      <c r="I359" s="16">
        <v>7.2149000000000001</v>
      </c>
      <c r="J359" s="16">
        <v>0</v>
      </c>
      <c r="K359" s="17">
        <v>179.85</v>
      </c>
      <c r="L359" s="15">
        <v>0</v>
      </c>
    </row>
    <row r="360" spans="1:12" x14ac:dyDescent="0.3">
      <c r="A360" s="18" t="s">
        <v>93</v>
      </c>
      <c r="B360" s="5" t="s">
        <v>63</v>
      </c>
      <c r="C360" s="5" t="s">
        <v>64</v>
      </c>
      <c r="D360" s="19">
        <v>2947.7137987146898</v>
      </c>
      <c r="E360" s="19">
        <v>114.382475942608</v>
      </c>
      <c r="F360" s="20">
        <v>210.16963754489001</v>
      </c>
      <c r="G360" s="19">
        <v>11.160614446794501</v>
      </c>
      <c r="H360" s="20">
        <v>3061.1348055214398</v>
      </c>
      <c r="I360" s="21">
        <v>3.8803999999999998</v>
      </c>
      <c r="J360" s="21">
        <v>9.7573000000000008</v>
      </c>
      <c r="K360" s="22">
        <v>1356.51</v>
      </c>
      <c r="L360" s="20">
        <v>18.829999999999998</v>
      </c>
    </row>
    <row r="361" spans="1:12" x14ac:dyDescent="0.3">
      <c r="A361" s="13" t="s">
        <v>82</v>
      </c>
      <c r="B361" s="9" t="s">
        <v>63</v>
      </c>
      <c r="C361" s="9" t="s">
        <v>64</v>
      </c>
      <c r="D361" s="14">
        <v>4863</v>
      </c>
      <c r="E361" s="14">
        <v>164</v>
      </c>
      <c r="F361" s="15">
        <v>598.38</v>
      </c>
      <c r="G361" s="14">
        <v>9</v>
      </c>
      <c r="H361" s="15">
        <v>2870.7</v>
      </c>
      <c r="I361" s="16">
        <v>3.3723999999999998</v>
      </c>
      <c r="J361" s="16">
        <v>5.4878</v>
      </c>
      <c r="K361" s="17">
        <v>379.75</v>
      </c>
      <c r="L361" s="15">
        <v>66.489999999999995</v>
      </c>
    </row>
    <row r="362" spans="1:12" x14ac:dyDescent="0.3">
      <c r="A362" s="18" t="s">
        <v>187</v>
      </c>
      <c r="B362" s="5" t="s">
        <v>63</v>
      </c>
      <c r="C362" s="5" t="s">
        <v>67</v>
      </c>
      <c r="D362" s="19">
        <v>4852</v>
      </c>
      <c r="E362" s="19">
        <v>215</v>
      </c>
      <c r="F362" s="20">
        <v>904.66</v>
      </c>
      <c r="G362" s="19">
        <v>14</v>
      </c>
      <c r="H362" s="20">
        <v>6346.77</v>
      </c>
      <c r="I362" s="21">
        <v>4.4311999999999996</v>
      </c>
      <c r="J362" s="21">
        <v>6.5115999999999996</v>
      </c>
      <c r="K362" s="22">
        <v>601.55999999999995</v>
      </c>
      <c r="L362" s="20">
        <v>64.62</v>
      </c>
    </row>
    <row r="363" spans="1:12" x14ac:dyDescent="0.3">
      <c r="A363" s="13" t="s">
        <v>317</v>
      </c>
      <c r="B363" s="9" t="s">
        <v>63</v>
      </c>
      <c r="C363" s="9" t="s">
        <v>69</v>
      </c>
      <c r="D363" s="14">
        <v>1242</v>
      </c>
      <c r="E363" s="14">
        <v>43</v>
      </c>
      <c r="F363" s="15">
        <v>182.22</v>
      </c>
      <c r="G363" s="14">
        <v>4</v>
      </c>
      <c r="H363" s="15">
        <v>585.94000000000005</v>
      </c>
      <c r="I363" s="16">
        <v>3.4622000000000002</v>
      </c>
      <c r="J363" s="16">
        <v>9.3023000000000007</v>
      </c>
      <c r="K363" s="17">
        <v>221.56</v>
      </c>
      <c r="L363" s="15">
        <v>45.56</v>
      </c>
    </row>
    <row r="364" spans="1:12" x14ac:dyDescent="0.3">
      <c r="A364" s="18" t="s">
        <v>154</v>
      </c>
      <c r="B364" s="5" t="s">
        <v>63</v>
      </c>
      <c r="C364" s="5" t="s">
        <v>67</v>
      </c>
      <c r="D364" s="19">
        <v>6040</v>
      </c>
      <c r="E364" s="19">
        <v>360</v>
      </c>
      <c r="F364" s="20">
        <v>736.51</v>
      </c>
      <c r="G364" s="19">
        <v>17</v>
      </c>
      <c r="H364" s="20">
        <v>4858.6400000000003</v>
      </c>
      <c r="I364" s="21">
        <v>5.9603000000000002</v>
      </c>
      <c r="J364" s="21">
        <v>4.7222</v>
      </c>
      <c r="K364" s="22">
        <v>559.67999999999995</v>
      </c>
      <c r="L364" s="20">
        <v>43.32</v>
      </c>
    </row>
    <row r="365" spans="1:12" x14ac:dyDescent="0.3">
      <c r="A365" s="13" t="s">
        <v>206</v>
      </c>
      <c r="B365" s="9" t="s">
        <v>63</v>
      </c>
      <c r="C365" s="9" t="s">
        <v>73</v>
      </c>
      <c r="D365" s="14">
        <v>4277</v>
      </c>
      <c r="E365" s="14">
        <v>303</v>
      </c>
      <c r="F365" s="15">
        <v>1148.22</v>
      </c>
      <c r="G365" s="14">
        <v>0</v>
      </c>
      <c r="H365" s="15">
        <v>1688.02</v>
      </c>
      <c r="I365" s="16">
        <v>7.0843999999999996</v>
      </c>
      <c r="J365" s="16">
        <v>0</v>
      </c>
      <c r="K365" s="17">
        <v>47.01</v>
      </c>
      <c r="L365" s="15">
        <v>0</v>
      </c>
    </row>
    <row r="366" spans="1:12" x14ac:dyDescent="0.3">
      <c r="A366" s="18" t="s">
        <v>199</v>
      </c>
      <c r="B366" s="5" t="s">
        <v>63</v>
      </c>
      <c r="C366" s="5" t="s">
        <v>88</v>
      </c>
      <c r="D366" s="19">
        <v>5432</v>
      </c>
      <c r="E366" s="19">
        <v>204</v>
      </c>
      <c r="F366" s="20">
        <v>288.27999999999997</v>
      </c>
      <c r="G366" s="19">
        <v>19</v>
      </c>
      <c r="H366" s="20">
        <v>4532.01</v>
      </c>
      <c r="I366" s="21">
        <v>3.7555000000000001</v>
      </c>
      <c r="J366" s="21">
        <v>9.3137000000000008</v>
      </c>
      <c r="K366" s="22">
        <v>1472.09</v>
      </c>
      <c r="L366" s="20">
        <v>15.17</v>
      </c>
    </row>
    <row r="367" spans="1:12" x14ac:dyDescent="0.3">
      <c r="A367" s="13" t="s">
        <v>319</v>
      </c>
      <c r="B367" s="9" t="s">
        <v>63</v>
      </c>
      <c r="C367" s="9" t="s">
        <v>71</v>
      </c>
      <c r="D367" s="14">
        <v>1128</v>
      </c>
      <c r="E367" s="14">
        <v>78</v>
      </c>
      <c r="F367" s="15">
        <v>174.87</v>
      </c>
      <c r="G367" s="14">
        <v>2</v>
      </c>
      <c r="H367" s="15">
        <v>506.68</v>
      </c>
      <c r="I367" s="16">
        <v>6.9149000000000003</v>
      </c>
      <c r="J367" s="16">
        <v>2.5640999999999998</v>
      </c>
      <c r="K367" s="17">
        <v>189.75</v>
      </c>
      <c r="L367" s="15">
        <v>87.44</v>
      </c>
    </row>
    <row r="368" spans="1:12" x14ac:dyDescent="0.3">
      <c r="A368" s="18" t="s">
        <v>274</v>
      </c>
      <c r="B368" s="5" t="s">
        <v>63</v>
      </c>
      <c r="C368" s="5"/>
      <c r="D368" s="19">
        <v>5085</v>
      </c>
      <c r="E368" s="19">
        <v>163</v>
      </c>
      <c r="F368" s="20">
        <v>434.83</v>
      </c>
      <c r="G368" s="19">
        <v>7</v>
      </c>
      <c r="H368" s="20">
        <v>2429.56</v>
      </c>
      <c r="I368" s="21">
        <v>3.2054999999999998</v>
      </c>
      <c r="J368" s="21">
        <v>4.2945000000000002</v>
      </c>
      <c r="K368" s="22">
        <v>458.74</v>
      </c>
      <c r="L368" s="20">
        <v>62.12</v>
      </c>
    </row>
    <row r="369" spans="1:12" x14ac:dyDescent="0.3">
      <c r="A369" s="13" t="s">
        <v>320</v>
      </c>
      <c r="B369" s="9" t="s">
        <v>63</v>
      </c>
      <c r="C369" s="9"/>
      <c r="D369" s="14">
        <v>4641</v>
      </c>
      <c r="E369" s="14">
        <v>320</v>
      </c>
      <c r="F369" s="15">
        <v>1356.94</v>
      </c>
      <c r="G369" s="14">
        <v>26</v>
      </c>
      <c r="H369" s="15">
        <v>6821.17</v>
      </c>
      <c r="I369" s="16">
        <v>6.8951000000000002</v>
      </c>
      <c r="J369" s="16">
        <v>8.125</v>
      </c>
      <c r="K369" s="17">
        <v>402.69</v>
      </c>
      <c r="L369" s="15">
        <v>52.19</v>
      </c>
    </row>
    <row r="370" spans="1:12" ht="22.8" x14ac:dyDescent="0.3">
      <c r="A370" s="18" t="s">
        <v>114</v>
      </c>
      <c r="B370" s="5" t="s">
        <v>63</v>
      </c>
      <c r="C370" s="5" t="s">
        <v>91</v>
      </c>
      <c r="D370" s="19">
        <v>7225</v>
      </c>
      <c r="E370" s="19">
        <v>0</v>
      </c>
      <c r="F370" s="20">
        <v>1730.35</v>
      </c>
      <c r="G370" s="19">
        <v>24</v>
      </c>
      <c r="H370" s="20">
        <v>3496.64</v>
      </c>
      <c r="I370" s="21">
        <v>0</v>
      </c>
      <c r="J370" s="21">
        <v>0</v>
      </c>
      <c r="K370" s="22">
        <v>102.08</v>
      </c>
      <c r="L370" s="20">
        <v>72.099999999999994</v>
      </c>
    </row>
    <row r="371" spans="1:12" x14ac:dyDescent="0.3">
      <c r="A371" s="13" t="s">
        <v>260</v>
      </c>
      <c r="B371" s="9" t="s">
        <v>63</v>
      </c>
      <c r="C371" s="9" t="s">
        <v>88</v>
      </c>
      <c r="D371" s="14">
        <v>6919</v>
      </c>
      <c r="E371" s="14">
        <v>588</v>
      </c>
      <c r="F371" s="15">
        <v>2360.27</v>
      </c>
      <c r="G371" s="14">
        <v>56</v>
      </c>
      <c r="H371" s="15">
        <v>10282.66</v>
      </c>
      <c r="I371" s="16">
        <v>8.4983000000000004</v>
      </c>
      <c r="J371" s="16">
        <v>9.5237999999999996</v>
      </c>
      <c r="K371" s="17">
        <v>335.66</v>
      </c>
      <c r="L371" s="15">
        <v>42.15</v>
      </c>
    </row>
    <row r="372" spans="1:12" x14ac:dyDescent="0.3">
      <c r="A372" s="18" t="s">
        <v>321</v>
      </c>
      <c r="B372" s="5" t="s">
        <v>63</v>
      </c>
      <c r="C372" s="5"/>
      <c r="D372" s="19">
        <v>5635</v>
      </c>
      <c r="E372" s="19">
        <v>291</v>
      </c>
      <c r="F372" s="20">
        <v>1135.1600000000001</v>
      </c>
      <c r="G372" s="19">
        <v>16</v>
      </c>
      <c r="H372" s="20">
        <v>2957.49</v>
      </c>
      <c r="I372" s="21">
        <v>5.1642000000000001</v>
      </c>
      <c r="J372" s="21">
        <v>5.4983000000000004</v>
      </c>
      <c r="K372" s="22">
        <v>160.54</v>
      </c>
      <c r="L372" s="20">
        <v>70.95</v>
      </c>
    </row>
    <row r="373" spans="1:12" x14ac:dyDescent="0.3">
      <c r="A373" s="13" t="s">
        <v>203</v>
      </c>
      <c r="B373" s="9" t="s">
        <v>63</v>
      </c>
      <c r="C373" s="9" t="s">
        <v>73</v>
      </c>
      <c r="D373" s="14">
        <v>4819</v>
      </c>
      <c r="E373" s="14">
        <v>365</v>
      </c>
      <c r="F373" s="15">
        <v>809.53</v>
      </c>
      <c r="G373" s="14">
        <v>29</v>
      </c>
      <c r="H373" s="15">
        <v>0</v>
      </c>
      <c r="I373" s="16">
        <v>7.5742000000000003</v>
      </c>
      <c r="J373" s="16">
        <v>7.9451999999999998</v>
      </c>
      <c r="K373" s="17">
        <v>-100</v>
      </c>
      <c r="L373" s="15">
        <v>27.91</v>
      </c>
    </row>
    <row r="374" spans="1:12" x14ac:dyDescent="0.3">
      <c r="A374" s="18" t="s">
        <v>317</v>
      </c>
      <c r="B374" s="5" t="s">
        <v>63</v>
      </c>
      <c r="C374" s="5" t="s">
        <v>64</v>
      </c>
      <c r="D374" s="19">
        <v>1870</v>
      </c>
      <c r="E374" s="19">
        <v>144</v>
      </c>
      <c r="F374" s="20">
        <v>419.17</v>
      </c>
      <c r="G374" s="19">
        <v>9</v>
      </c>
      <c r="H374" s="20">
        <v>0</v>
      </c>
      <c r="I374" s="21">
        <v>7.7004999999999999</v>
      </c>
      <c r="J374" s="21">
        <v>6.25</v>
      </c>
      <c r="K374" s="22">
        <v>-100</v>
      </c>
      <c r="L374" s="20">
        <v>46.57</v>
      </c>
    </row>
    <row r="375" spans="1:12" x14ac:dyDescent="0.3">
      <c r="A375" s="13" t="s">
        <v>144</v>
      </c>
      <c r="B375" s="9" t="s">
        <v>63</v>
      </c>
      <c r="C375" s="9" t="s">
        <v>64</v>
      </c>
      <c r="D375" s="14">
        <v>2142</v>
      </c>
      <c r="E375" s="14">
        <v>190</v>
      </c>
      <c r="F375" s="15">
        <v>518.38</v>
      </c>
      <c r="G375" s="14">
        <v>12</v>
      </c>
      <c r="H375" s="15">
        <v>5313.06</v>
      </c>
      <c r="I375" s="16">
        <v>8.8702000000000005</v>
      </c>
      <c r="J375" s="16">
        <v>6.3158000000000003</v>
      </c>
      <c r="K375" s="17">
        <v>924.94</v>
      </c>
      <c r="L375" s="15">
        <v>43.2</v>
      </c>
    </row>
    <row r="376" spans="1:12" x14ac:dyDescent="0.3">
      <c r="A376" s="18" t="s">
        <v>184</v>
      </c>
      <c r="B376" s="5" t="s">
        <v>63</v>
      </c>
      <c r="C376" s="5"/>
      <c r="D376" s="19">
        <v>885</v>
      </c>
      <c r="E376" s="19">
        <v>76</v>
      </c>
      <c r="F376" s="20">
        <v>150.19999999999999</v>
      </c>
      <c r="G376" s="19">
        <v>3</v>
      </c>
      <c r="H376" s="20">
        <v>0</v>
      </c>
      <c r="I376" s="21">
        <v>8.5876000000000001</v>
      </c>
      <c r="J376" s="21">
        <v>3.9474</v>
      </c>
      <c r="K376" s="22">
        <v>-100</v>
      </c>
      <c r="L376" s="20">
        <v>50.07</v>
      </c>
    </row>
    <row r="377" spans="1:12" x14ac:dyDescent="0.3">
      <c r="A377" s="13" t="s">
        <v>225</v>
      </c>
      <c r="B377" s="9" t="s">
        <v>63</v>
      </c>
      <c r="C377" s="9"/>
      <c r="D377" s="14">
        <v>3554</v>
      </c>
      <c r="E377" s="14">
        <v>124</v>
      </c>
      <c r="F377" s="15">
        <v>114.84</v>
      </c>
      <c r="G377" s="14">
        <v>6</v>
      </c>
      <c r="H377" s="15">
        <v>1845.64</v>
      </c>
      <c r="I377" s="16">
        <v>3.4889999999999999</v>
      </c>
      <c r="J377" s="16">
        <v>4.8387000000000002</v>
      </c>
      <c r="K377" s="17">
        <v>1507.14</v>
      </c>
      <c r="L377" s="15">
        <v>19.14</v>
      </c>
    </row>
    <row r="378" spans="1:12" x14ac:dyDescent="0.3">
      <c r="A378" s="18" t="s">
        <v>322</v>
      </c>
      <c r="B378" s="5" t="s">
        <v>63</v>
      </c>
      <c r="C378" s="5" t="s">
        <v>71</v>
      </c>
      <c r="D378" s="19">
        <v>611</v>
      </c>
      <c r="E378" s="19">
        <v>24</v>
      </c>
      <c r="F378" s="20">
        <v>46.03</v>
      </c>
      <c r="G378" s="19">
        <v>1</v>
      </c>
      <c r="H378" s="20">
        <v>136.43</v>
      </c>
      <c r="I378" s="21">
        <v>3.9279999999999999</v>
      </c>
      <c r="J378" s="21">
        <v>4.1666999999999996</v>
      </c>
      <c r="K378" s="22">
        <v>196.39</v>
      </c>
      <c r="L378" s="20">
        <v>46.03</v>
      </c>
    </row>
    <row r="379" spans="1:12" x14ac:dyDescent="0.3">
      <c r="A379" s="13" t="s">
        <v>323</v>
      </c>
      <c r="B379" s="9" t="s">
        <v>63</v>
      </c>
      <c r="C379" s="9" t="s">
        <v>115</v>
      </c>
      <c r="D379" s="14">
        <v>7083</v>
      </c>
      <c r="E379" s="14">
        <v>400</v>
      </c>
      <c r="F379" s="15">
        <v>1145.99</v>
      </c>
      <c r="G379" s="14">
        <v>25</v>
      </c>
      <c r="H379" s="15">
        <v>7198.26</v>
      </c>
      <c r="I379" s="16">
        <v>5.6473000000000004</v>
      </c>
      <c r="J379" s="16">
        <v>6.25</v>
      </c>
      <c r="K379" s="17">
        <v>528.13</v>
      </c>
      <c r="L379" s="15">
        <v>45.84</v>
      </c>
    </row>
    <row r="380" spans="1:12" ht="22.8" x14ac:dyDescent="0.3">
      <c r="A380" s="18" t="s">
        <v>285</v>
      </c>
      <c r="B380" s="5" t="s">
        <v>63</v>
      </c>
      <c r="C380" s="5" t="s">
        <v>91</v>
      </c>
      <c r="D380" s="19">
        <v>7757</v>
      </c>
      <c r="E380" s="19">
        <v>519</v>
      </c>
      <c r="F380" s="20">
        <v>2143.9299999999998</v>
      </c>
      <c r="G380" s="19">
        <v>34</v>
      </c>
      <c r="H380" s="20">
        <v>15141.25</v>
      </c>
      <c r="I380" s="21">
        <v>6.6906999999999996</v>
      </c>
      <c r="J380" s="21">
        <v>6.5510999999999999</v>
      </c>
      <c r="K380" s="22">
        <v>606.24</v>
      </c>
      <c r="L380" s="20">
        <v>63.06</v>
      </c>
    </row>
    <row r="381" spans="1:12" x14ac:dyDescent="0.3">
      <c r="A381" s="13" t="s">
        <v>324</v>
      </c>
      <c r="B381" s="9" t="s">
        <v>63</v>
      </c>
      <c r="C381" s="9" t="s">
        <v>73</v>
      </c>
      <c r="D381" s="14">
        <v>3367</v>
      </c>
      <c r="E381" s="14">
        <v>180</v>
      </c>
      <c r="F381" s="15">
        <v>146.87</v>
      </c>
      <c r="G381" s="14">
        <v>7</v>
      </c>
      <c r="H381" s="15">
        <v>1949.39</v>
      </c>
      <c r="I381" s="16">
        <v>5.3460000000000001</v>
      </c>
      <c r="J381" s="16">
        <v>3.8889</v>
      </c>
      <c r="K381" s="17">
        <v>1227.29</v>
      </c>
      <c r="L381" s="15">
        <v>20.98</v>
      </c>
    </row>
    <row r="382" spans="1:12" x14ac:dyDescent="0.3">
      <c r="A382" s="18" t="s">
        <v>325</v>
      </c>
      <c r="B382" s="5" t="s">
        <v>63</v>
      </c>
      <c r="C382" s="5"/>
      <c r="D382" s="19">
        <v>1300</v>
      </c>
      <c r="E382" s="19">
        <v>102</v>
      </c>
      <c r="F382" s="20">
        <v>115.61</v>
      </c>
      <c r="G382" s="19">
        <v>9</v>
      </c>
      <c r="H382" s="20">
        <v>2100.2199999999998</v>
      </c>
      <c r="I382" s="21">
        <v>7.8461999999999996</v>
      </c>
      <c r="J382" s="21">
        <v>8.8234999999999992</v>
      </c>
      <c r="K382" s="22">
        <v>1716.64</v>
      </c>
      <c r="L382" s="20">
        <v>12.85</v>
      </c>
    </row>
    <row r="383" spans="1:12" x14ac:dyDescent="0.3">
      <c r="A383" s="13" t="s">
        <v>280</v>
      </c>
      <c r="B383" s="9" t="s">
        <v>63</v>
      </c>
      <c r="C383" s="9" t="s">
        <v>67</v>
      </c>
      <c r="D383" s="14">
        <v>4335</v>
      </c>
      <c r="E383" s="14">
        <v>245</v>
      </c>
      <c r="F383" s="15">
        <v>634.69000000000005</v>
      </c>
      <c r="G383" s="14">
        <v>11</v>
      </c>
      <c r="H383" s="15">
        <v>4300.54</v>
      </c>
      <c r="I383" s="16">
        <v>5.6516999999999999</v>
      </c>
      <c r="J383" s="16">
        <v>4.4897999999999998</v>
      </c>
      <c r="K383" s="17">
        <v>577.58000000000004</v>
      </c>
      <c r="L383" s="15">
        <v>57.7</v>
      </c>
    </row>
    <row r="384" spans="1:12" x14ac:dyDescent="0.3">
      <c r="A384" s="18" t="s">
        <v>170</v>
      </c>
      <c r="B384" s="5" t="s">
        <v>63</v>
      </c>
      <c r="C384" s="5" t="s">
        <v>73</v>
      </c>
      <c r="D384" s="19">
        <v>0</v>
      </c>
      <c r="E384" s="19">
        <v>504</v>
      </c>
      <c r="F384" s="20">
        <v>1953.71</v>
      </c>
      <c r="G384" s="19">
        <v>38</v>
      </c>
      <c r="H384" s="20">
        <v>12002.51</v>
      </c>
      <c r="I384" s="21">
        <v>0</v>
      </c>
      <c r="J384" s="21">
        <v>7.5396999999999998</v>
      </c>
      <c r="K384" s="22">
        <v>514.34</v>
      </c>
      <c r="L384" s="20">
        <v>51.41</v>
      </c>
    </row>
    <row r="385" spans="1:12" x14ac:dyDescent="0.3">
      <c r="A385" s="13" t="s">
        <v>226</v>
      </c>
      <c r="B385" s="9" t="s">
        <v>63</v>
      </c>
      <c r="C385" s="9" t="s">
        <v>71</v>
      </c>
      <c r="D385" s="14">
        <v>2873.8920205734898</v>
      </c>
      <c r="E385" s="14">
        <v>0</v>
      </c>
      <c r="F385" s="15">
        <v>235.01317181420001</v>
      </c>
      <c r="G385" s="14">
        <v>20.816873815946298</v>
      </c>
      <c r="H385" s="15">
        <v>5355.2625352956002</v>
      </c>
      <c r="I385" s="16">
        <v>0</v>
      </c>
      <c r="J385" s="16">
        <v>0</v>
      </c>
      <c r="K385" s="17">
        <v>2178.71</v>
      </c>
      <c r="L385" s="15">
        <v>11.29</v>
      </c>
    </row>
    <row r="386" spans="1:12" ht="22.8" x14ac:dyDescent="0.3">
      <c r="A386" s="18" t="s">
        <v>209</v>
      </c>
      <c r="B386" s="5" t="s">
        <v>63</v>
      </c>
      <c r="C386" s="5" t="s">
        <v>91</v>
      </c>
      <c r="D386" s="19">
        <v>1460</v>
      </c>
      <c r="E386" s="19">
        <v>78</v>
      </c>
      <c r="F386" s="20">
        <v>192.41</v>
      </c>
      <c r="G386" s="19">
        <v>7</v>
      </c>
      <c r="H386" s="20">
        <v>1156.21</v>
      </c>
      <c r="I386" s="21">
        <v>5.3425000000000002</v>
      </c>
      <c r="J386" s="21">
        <v>8.9743999999999993</v>
      </c>
      <c r="K386" s="22">
        <v>500.91</v>
      </c>
      <c r="L386" s="20">
        <v>27.49</v>
      </c>
    </row>
    <row r="387" spans="1:12" x14ac:dyDescent="0.3">
      <c r="A387" s="13" t="s">
        <v>149</v>
      </c>
      <c r="B387" s="9" t="s">
        <v>63</v>
      </c>
      <c r="C387" s="9" t="s">
        <v>115</v>
      </c>
      <c r="D387" s="14">
        <v>4695</v>
      </c>
      <c r="E387" s="14">
        <v>301</v>
      </c>
      <c r="F387" s="15">
        <v>1079.75</v>
      </c>
      <c r="G387" s="14">
        <v>20</v>
      </c>
      <c r="H387" s="15">
        <v>0</v>
      </c>
      <c r="I387" s="16">
        <v>6.4111000000000002</v>
      </c>
      <c r="J387" s="16">
        <v>6.6444999999999999</v>
      </c>
      <c r="K387" s="17">
        <v>-100</v>
      </c>
      <c r="L387" s="15">
        <v>53.99</v>
      </c>
    </row>
    <row r="388" spans="1:12" x14ac:dyDescent="0.3">
      <c r="A388" s="18" t="s">
        <v>118</v>
      </c>
      <c r="B388" s="5" t="s">
        <v>63</v>
      </c>
      <c r="C388" s="5" t="s">
        <v>115</v>
      </c>
      <c r="D388" s="19">
        <v>4574</v>
      </c>
      <c r="E388" s="19">
        <v>171</v>
      </c>
      <c r="F388" s="20">
        <v>683.26</v>
      </c>
      <c r="G388" s="19">
        <v>7</v>
      </c>
      <c r="H388" s="20">
        <v>1687.22</v>
      </c>
      <c r="I388" s="21">
        <v>3.7385000000000002</v>
      </c>
      <c r="J388" s="21">
        <v>4.0936000000000003</v>
      </c>
      <c r="K388" s="22">
        <v>146.94</v>
      </c>
      <c r="L388" s="20">
        <v>97.61</v>
      </c>
    </row>
    <row r="389" spans="1:12" x14ac:dyDescent="0.3">
      <c r="A389" s="13" t="s">
        <v>101</v>
      </c>
      <c r="B389" s="9" t="s">
        <v>63</v>
      </c>
      <c r="C389" s="9" t="s">
        <v>64</v>
      </c>
      <c r="D389" s="14">
        <v>6520</v>
      </c>
      <c r="E389" s="14">
        <v>242</v>
      </c>
      <c r="F389" s="15">
        <v>971.08</v>
      </c>
      <c r="G389" s="14">
        <v>15</v>
      </c>
      <c r="H389" s="15">
        <v>3506.02</v>
      </c>
      <c r="I389" s="16">
        <v>3.7117</v>
      </c>
      <c r="J389" s="16">
        <v>6.1982999999999997</v>
      </c>
      <c r="K389" s="17">
        <v>261.04000000000002</v>
      </c>
      <c r="L389" s="15">
        <v>64.739999999999995</v>
      </c>
    </row>
    <row r="390" spans="1:12" x14ac:dyDescent="0.3">
      <c r="A390" s="18" t="s">
        <v>295</v>
      </c>
      <c r="B390" s="5" t="s">
        <v>63</v>
      </c>
      <c r="C390" s="5" t="s">
        <v>67</v>
      </c>
      <c r="D390" s="19">
        <v>3822</v>
      </c>
      <c r="E390" s="19">
        <v>329</v>
      </c>
      <c r="F390" s="20">
        <v>356.69</v>
      </c>
      <c r="G390" s="19">
        <v>27</v>
      </c>
      <c r="H390" s="20">
        <v>11258.2</v>
      </c>
      <c r="I390" s="21">
        <v>8.6081000000000003</v>
      </c>
      <c r="J390" s="21">
        <v>8.2066999999999997</v>
      </c>
      <c r="K390" s="22">
        <v>3056.3</v>
      </c>
      <c r="L390" s="20">
        <v>13.21</v>
      </c>
    </row>
    <row r="391" spans="1:12" x14ac:dyDescent="0.3">
      <c r="A391" s="13" t="s">
        <v>326</v>
      </c>
      <c r="B391" s="9" t="s">
        <v>63</v>
      </c>
      <c r="C391" s="9" t="s">
        <v>86</v>
      </c>
      <c r="D391" s="14">
        <v>5323</v>
      </c>
      <c r="E391" s="14">
        <v>251</v>
      </c>
      <c r="F391" s="15">
        <v>527.13</v>
      </c>
      <c r="G391" s="14">
        <v>13</v>
      </c>
      <c r="H391" s="15">
        <v>5081.82</v>
      </c>
      <c r="I391" s="16">
        <v>4.7153999999999998</v>
      </c>
      <c r="J391" s="16">
        <v>5.1792999999999996</v>
      </c>
      <c r="K391" s="17">
        <v>864.05</v>
      </c>
      <c r="L391" s="15">
        <v>40.549999999999997</v>
      </c>
    </row>
    <row r="392" spans="1:12" x14ac:dyDescent="0.3">
      <c r="A392" s="18" t="s">
        <v>327</v>
      </c>
      <c r="B392" s="5" t="s">
        <v>63</v>
      </c>
      <c r="C392" s="5" t="s">
        <v>67</v>
      </c>
      <c r="D392" s="19">
        <v>7969</v>
      </c>
      <c r="E392" s="19">
        <v>399</v>
      </c>
      <c r="F392" s="20">
        <v>483.3</v>
      </c>
      <c r="G392" s="19">
        <v>26</v>
      </c>
      <c r="H392" s="20">
        <v>7086.56</v>
      </c>
      <c r="I392" s="21">
        <v>5.0068999999999999</v>
      </c>
      <c r="J392" s="21">
        <v>6.5163000000000002</v>
      </c>
      <c r="K392" s="22">
        <v>1366.29</v>
      </c>
      <c r="L392" s="20">
        <v>18.59</v>
      </c>
    </row>
    <row r="393" spans="1:12" x14ac:dyDescent="0.3">
      <c r="A393" s="13" t="s">
        <v>171</v>
      </c>
      <c r="B393" s="9" t="s">
        <v>63</v>
      </c>
      <c r="C393" s="9" t="s">
        <v>88</v>
      </c>
      <c r="D393" s="14">
        <v>7938</v>
      </c>
      <c r="E393" s="14">
        <v>321</v>
      </c>
      <c r="F393" s="15">
        <v>1110.57</v>
      </c>
      <c r="G393" s="14">
        <v>24</v>
      </c>
      <c r="H393" s="15">
        <v>7341.18</v>
      </c>
      <c r="I393" s="16">
        <v>4.0438000000000001</v>
      </c>
      <c r="J393" s="16">
        <v>7.4766000000000004</v>
      </c>
      <c r="K393" s="17">
        <v>561.03</v>
      </c>
      <c r="L393" s="15">
        <v>46.27</v>
      </c>
    </row>
    <row r="394" spans="1:12" x14ac:dyDescent="0.3">
      <c r="A394" s="18" t="s">
        <v>318</v>
      </c>
      <c r="B394" s="5" t="s">
        <v>63</v>
      </c>
      <c r="C394" s="5" t="s">
        <v>115</v>
      </c>
      <c r="D394" s="19">
        <v>3423</v>
      </c>
      <c r="E394" s="19">
        <v>111</v>
      </c>
      <c r="F394" s="20">
        <v>495.66</v>
      </c>
      <c r="G394" s="19">
        <v>10</v>
      </c>
      <c r="H394" s="20">
        <v>2446.62</v>
      </c>
      <c r="I394" s="21">
        <v>3.2427999999999999</v>
      </c>
      <c r="J394" s="21">
        <v>9.0090000000000003</v>
      </c>
      <c r="K394" s="22">
        <v>393.61</v>
      </c>
      <c r="L394" s="20">
        <v>49.57</v>
      </c>
    </row>
    <row r="395" spans="1:12" x14ac:dyDescent="0.3">
      <c r="A395" s="13" t="s">
        <v>66</v>
      </c>
      <c r="B395" s="9" t="s">
        <v>63</v>
      </c>
      <c r="C395" s="9" t="s">
        <v>88</v>
      </c>
      <c r="D395" s="14">
        <v>6301</v>
      </c>
      <c r="E395" s="14">
        <v>544</v>
      </c>
      <c r="F395" s="15">
        <v>747.18</v>
      </c>
      <c r="G395" s="14">
        <v>51</v>
      </c>
      <c r="H395" s="15">
        <v>21924.18</v>
      </c>
      <c r="I395" s="16">
        <v>8.6335999999999995</v>
      </c>
      <c r="J395" s="16">
        <v>9.375</v>
      </c>
      <c r="K395" s="17">
        <v>2834.26</v>
      </c>
      <c r="L395" s="15">
        <v>14.65</v>
      </c>
    </row>
    <row r="396" spans="1:12" x14ac:dyDescent="0.3">
      <c r="A396" s="18" t="s">
        <v>328</v>
      </c>
      <c r="B396" s="5" t="s">
        <v>63</v>
      </c>
      <c r="C396" s="5" t="s">
        <v>115</v>
      </c>
      <c r="D396" s="19">
        <v>3287</v>
      </c>
      <c r="E396" s="19">
        <v>151</v>
      </c>
      <c r="F396" s="20">
        <v>396.7</v>
      </c>
      <c r="G396" s="19">
        <v>13</v>
      </c>
      <c r="H396" s="20">
        <v>4768.33</v>
      </c>
      <c r="I396" s="21">
        <v>4.5938999999999997</v>
      </c>
      <c r="J396" s="21">
        <v>8.6092999999999993</v>
      </c>
      <c r="K396" s="22">
        <v>1102</v>
      </c>
      <c r="L396" s="20">
        <v>30.52</v>
      </c>
    </row>
    <row r="397" spans="1:12" x14ac:dyDescent="0.3">
      <c r="A397" s="13" t="s">
        <v>260</v>
      </c>
      <c r="B397" s="9" t="s">
        <v>63</v>
      </c>
      <c r="C397" s="9" t="s">
        <v>73</v>
      </c>
      <c r="D397" s="14">
        <v>4650</v>
      </c>
      <c r="E397" s="14">
        <v>375</v>
      </c>
      <c r="F397" s="15">
        <v>1225.78</v>
      </c>
      <c r="G397" s="14">
        <v>28</v>
      </c>
      <c r="H397" s="15">
        <v>3705.77</v>
      </c>
      <c r="I397" s="16">
        <v>8.0645000000000007</v>
      </c>
      <c r="J397" s="16">
        <v>7.4667000000000003</v>
      </c>
      <c r="K397" s="17">
        <v>202.32</v>
      </c>
      <c r="L397" s="15">
        <v>43.78</v>
      </c>
    </row>
    <row r="398" spans="1:12" x14ac:dyDescent="0.3">
      <c r="A398" s="18" t="s">
        <v>137</v>
      </c>
      <c r="B398" s="5" t="s">
        <v>63</v>
      </c>
      <c r="C398" s="5" t="s">
        <v>83</v>
      </c>
      <c r="D398" s="19">
        <v>7310</v>
      </c>
      <c r="E398" s="19">
        <v>376</v>
      </c>
      <c r="F398" s="20">
        <v>1264.92</v>
      </c>
      <c r="G398" s="19">
        <v>32</v>
      </c>
      <c r="H398" s="20">
        <v>6817.22</v>
      </c>
      <c r="I398" s="21">
        <v>5.1436000000000002</v>
      </c>
      <c r="J398" s="21">
        <v>8.5106000000000002</v>
      </c>
      <c r="K398" s="22">
        <v>438.94</v>
      </c>
      <c r="L398" s="20">
        <v>39.53</v>
      </c>
    </row>
    <row r="399" spans="1:12" x14ac:dyDescent="0.3">
      <c r="A399" s="13" t="s">
        <v>329</v>
      </c>
      <c r="B399" s="9" t="s">
        <v>63</v>
      </c>
      <c r="C399" s="9" t="s">
        <v>64</v>
      </c>
      <c r="D399" s="14">
        <v>2993</v>
      </c>
      <c r="E399" s="14">
        <v>120</v>
      </c>
      <c r="F399" s="15">
        <v>328.67</v>
      </c>
      <c r="G399" s="14">
        <v>7</v>
      </c>
      <c r="H399" s="15">
        <v>0</v>
      </c>
      <c r="I399" s="16">
        <v>4.0094000000000003</v>
      </c>
      <c r="J399" s="16">
        <v>5.8333000000000004</v>
      </c>
      <c r="K399" s="17">
        <v>-100</v>
      </c>
      <c r="L399" s="15">
        <v>46.95</v>
      </c>
    </row>
    <row r="400" spans="1:12" x14ac:dyDescent="0.3">
      <c r="A400" s="18" t="s">
        <v>179</v>
      </c>
      <c r="B400" s="5" t="s">
        <v>63</v>
      </c>
      <c r="C400" s="5" t="s">
        <v>64</v>
      </c>
      <c r="D400" s="19">
        <v>7205</v>
      </c>
      <c r="E400" s="19">
        <v>459</v>
      </c>
      <c r="F400" s="20">
        <v>1235.8</v>
      </c>
      <c r="G400" s="19">
        <v>19</v>
      </c>
      <c r="H400" s="20">
        <v>8739.18</v>
      </c>
      <c r="I400" s="21">
        <v>6.3705999999999996</v>
      </c>
      <c r="J400" s="21">
        <v>4.1394000000000002</v>
      </c>
      <c r="K400" s="22">
        <v>607.16999999999996</v>
      </c>
      <c r="L400" s="20">
        <v>65.040000000000006</v>
      </c>
    </row>
    <row r="401" spans="1:12" x14ac:dyDescent="0.3">
      <c r="A401" s="13" t="s">
        <v>330</v>
      </c>
      <c r="B401" s="9" t="s">
        <v>63</v>
      </c>
      <c r="C401" s="9" t="s">
        <v>83</v>
      </c>
      <c r="D401" s="14">
        <v>3464</v>
      </c>
      <c r="E401" s="14">
        <v>152</v>
      </c>
      <c r="F401" s="15">
        <v>500.15</v>
      </c>
      <c r="G401" s="14">
        <v>11</v>
      </c>
      <c r="H401" s="15">
        <v>3158.72</v>
      </c>
      <c r="I401" s="16">
        <v>4.3879999999999999</v>
      </c>
      <c r="J401" s="16">
        <v>7.2367999999999997</v>
      </c>
      <c r="K401" s="17">
        <v>531.54999999999995</v>
      </c>
      <c r="L401" s="15">
        <v>45.47</v>
      </c>
    </row>
    <row r="402" spans="1:12" x14ac:dyDescent="0.3">
      <c r="A402" s="18" t="s">
        <v>259</v>
      </c>
      <c r="B402" s="5" t="s">
        <v>63</v>
      </c>
      <c r="C402" s="5"/>
      <c r="D402" s="19">
        <v>2046</v>
      </c>
      <c r="E402" s="19">
        <v>62</v>
      </c>
      <c r="F402" s="20">
        <v>132.63999999999999</v>
      </c>
      <c r="G402" s="19">
        <v>2</v>
      </c>
      <c r="H402" s="20">
        <v>828.96</v>
      </c>
      <c r="I402" s="21">
        <v>3.0303</v>
      </c>
      <c r="J402" s="21">
        <v>3.2258</v>
      </c>
      <c r="K402" s="22">
        <v>524.97</v>
      </c>
      <c r="L402" s="20">
        <v>66.319999999999993</v>
      </c>
    </row>
    <row r="403" spans="1:12" x14ac:dyDescent="0.3">
      <c r="A403" s="13" t="s">
        <v>78</v>
      </c>
      <c r="B403" s="9" t="s">
        <v>63</v>
      </c>
      <c r="C403" s="9" t="s">
        <v>73</v>
      </c>
      <c r="D403" s="14">
        <v>6728.4423368767903</v>
      </c>
      <c r="E403" s="14">
        <v>549.91907769108695</v>
      </c>
      <c r="F403" s="15">
        <v>1193.6351651253401</v>
      </c>
      <c r="G403" s="14">
        <v>28.983506129395199</v>
      </c>
      <c r="H403" s="15">
        <v>0</v>
      </c>
      <c r="I403" s="16">
        <v>8.1730999999999998</v>
      </c>
      <c r="J403" s="16">
        <v>5.2705000000000002</v>
      </c>
      <c r="K403" s="17">
        <v>-100</v>
      </c>
      <c r="L403" s="15">
        <v>41.18</v>
      </c>
    </row>
    <row r="404" spans="1:12" x14ac:dyDescent="0.3">
      <c r="A404" s="18" t="s">
        <v>324</v>
      </c>
      <c r="B404" s="5" t="s">
        <v>63</v>
      </c>
      <c r="C404" s="5" t="s">
        <v>88</v>
      </c>
      <c r="D404" s="19">
        <v>6968</v>
      </c>
      <c r="E404" s="19">
        <v>383</v>
      </c>
      <c r="F404" s="20">
        <v>622.97</v>
      </c>
      <c r="G404" s="19">
        <v>30</v>
      </c>
      <c r="H404" s="20">
        <v>13759.49</v>
      </c>
      <c r="I404" s="21">
        <v>5.4965999999999999</v>
      </c>
      <c r="J404" s="21">
        <v>7.8329000000000004</v>
      </c>
      <c r="K404" s="22">
        <v>2108.69</v>
      </c>
      <c r="L404" s="20">
        <v>20.77</v>
      </c>
    </row>
    <row r="405" spans="1:12" x14ac:dyDescent="0.3">
      <c r="A405" s="13" t="s">
        <v>331</v>
      </c>
      <c r="B405" s="9" t="s">
        <v>63</v>
      </c>
      <c r="C405" s="9" t="s">
        <v>83</v>
      </c>
      <c r="D405" s="14">
        <v>4435</v>
      </c>
      <c r="E405" s="14">
        <v>215</v>
      </c>
      <c r="F405" s="15">
        <v>660.63</v>
      </c>
      <c r="G405" s="14">
        <v>0</v>
      </c>
      <c r="H405" s="15">
        <v>7951.47</v>
      </c>
      <c r="I405" s="16">
        <v>4.8478000000000003</v>
      </c>
      <c r="J405" s="16">
        <v>0</v>
      </c>
      <c r="K405" s="17">
        <v>1103.6199999999999</v>
      </c>
      <c r="L405" s="15">
        <v>0</v>
      </c>
    </row>
    <row r="406" spans="1:12" ht="22.8" x14ac:dyDescent="0.3">
      <c r="A406" s="18" t="s">
        <v>332</v>
      </c>
      <c r="B406" s="5" t="s">
        <v>63</v>
      </c>
      <c r="C406" s="5" t="s">
        <v>91</v>
      </c>
      <c r="D406" s="19">
        <v>7905.8435785534903</v>
      </c>
      <c r="E406" s="19">
        <v>0</v>
      </c>
      <c r="F406" s="20">
        <v>0</v>
      </c>
      <c r="G406" s="19">
        <v>36.429310629808</v>
      </c>
      <c r="H406" s="20">
        <v>10779.639841276899</v>
      </c>
      <c r="I406" s="21">
        <v>0</v>
      </c>
      <c r="J406" s="21">
        <v>0</v>
      </c>
      <c r="K406" s="22">
        <v>0</v>
      </c>
      <c r="L406" s="20">
        <v>0</v>
      </c>
    </row>
    <row r="407" spans="1:12" x14ac:dyDescent="0.3">
      <c r="A407" s="13" t="s">
        <v>227</v>
      </c>
      <c r="B407" s="9" t="s">
        <v>63</v>
      </c>
      <c r="C407" s="9" t="s">
        <v>83</v>
      </c>
      <c r="D407" s="14">
        <v>2991</v>
      </c>
      <c r="E407" s="14">
        <v>176</v>
      </c>
      <c r="F407" s="15">
        <v>772.45</v>
      </c>
      <c r="G407" s="14">
        <v>13</v>
      </c>
      <c r="H407" s="15">
        <v>4433.2</v>
      </c>
      <c r="I407" s="16">
        <v>5.8842999999999996</v>
      </c>
      <c r="J407" s="16">
        <v>7.3864000000000001</v>
      </c>
      <c r="K407" s="17">
        <v>473.91</v>
      </c>
      <c r="L407" s="15">
        <v>59.42</v>
      </c>
    </row>
    <row r="408" spans="1:12" x14ac:dyDescent="0.3">
      <c r="A408" s="18" t="s">
        <v>95</v>
      </c>
      <c r="B408" s="5" t="s">
        <v>63</v>
      </c>
      <c r="C408" s="5" t="s">
        <v>67</v>
      </c>
      <c r="D408" s="19">
        <v>4820</v>
      </c>
      <c r="E408" s="19">
        <v>373</v>
      </c>
      <c r="F408" s="20">
        <v>0</v>
      </c>
      <c r="G408" s="19">
        <v>12</v>
      </c>
      <c r="H408" s="20">
        <v>2737.85</v>
      </c>
      <c r="I408" s="21">
        <v>7.7385999999999999</v>
      </c>
      <c r="J408" s="21">
        <v>3.2172000000000001</v>
      </c>
      <c r="K408" s="22">
        <v>0</v>
      </c>
      <c r="L408" s="20">
        <v>0</v>
      </c>
    </row>
    <row r="409" spans="1:12" x14ac:dyDescent="0.3">
      <c r="A409" s="13" t="s">
        <v>146</v>
      </c>
      <c r="B409" s="9" t="s">
        <v>63</v>
      </c>
      <c r="C409" s="9" t="s">
        <v>71</v>
      </c>
      <c r="D409" s="14">
        <v>3430</v>
      </c>
      <c r="E409" s="14">
        <v>137</v>
      </c>
      <c r="F409" s="15">
        <v>344.09</v>
      </c>
      <c r="G409" s="14">
        <v>5</v>
      </c>
      <c r="H409" s="15">
        <v>2341.62</v>
      </c>
      <c r="I409" s="16">
        <v>3.9942000000000002</v>
      </c>
      <c r="J409" s="16">
        <v>3.6496</v>
      </c>
      <c r="K409" s="17">
        <v>580.53</v>
      </c>
      <c r="L409" s="15">
        <v>68.819999999999993</v>
      </c>
    </row>
    <row r="410" spans="1:12" x14ac:dyDescent="0.3">
      <c r="A410" s="18" t="s">
        <v>287</v>
      </c>
      <c r="B410" s="5" t="s">
        <v>63</v>
      </c>
      <c r="C410" s="5" t="s">
        <v>86</v>
      </c>
      <c r="D410" s="19">
        <v>2846</v>
      </c>
      <c r="E410" s="19">
        <v>251</v>
      </c>
      <c r="F410" s="20">
        <v>552.66</v>
      </c>
      <c r="G410" s="19">
        <v>9</v>
      </c>
      <c r="H410" s="20">
        <v>2439.19</v>
      </c>
      <c r="I410" s="21">
        <v>8.8193999999999999</v>
      </c>
      <c r="J410" s="21">
        <v>3.5857000000000001</v>
      </c>
      <c r="K410" s="22">
        <v>341.35</v>
      </c>
      <c r="L410" s="20">
        <v>61.41</v>
      </c>
    </row>
    <row r="411" spans="1:12" x14ac:dyDescent="0.3">
      <c r="A411" s="13" t="s">
        <v>333</v>
      </c>
      <c r="B411" s="9" t="s">
        <v>63</v>
      </c>
      <c r="C411" s="9" t="s">
        <v>64</v>
      </c>
      <c r="D411" s="14">
        <v>6556</v>
      </c>
      <c r="E411" s="14">
        <v>416</v>
      </c>
      <c r="F411" s="15">
        <v>1814.82</v>
      </c>
      <c r="G411" s="14">
        <v>19</v>
      </c>
      <c r="H411" s="15">
        <v>6944.85</v>
      </c>
      <c r="I411" s="16">
        <v>6.3452999999999999</v>
      </c>
      <c r="J411" s="16">
        <v>4.5673000000000004</v>
      </c>
      <c r="K411" s="17">
        <v>282.67</v>
      </c>
      <c r="L411" s="15">
        <v>95.52</v>
      </c>
    </row>
    <row r="412" spans="1:12" x14ac:dyDescent="0.3">
      <c r="A412" s="18" t="s">
        <v>258</v>
      </c>
      <c r="B412" s="5" t="s">
        <v>63</v>
      </c>
      <c r="C412" s="5" t="s">
        <v>83</v>
      </c>
      <c r="D412" s="19">
        <v>5104</v>
      </c>
      <c r="E412" s="19">
        <v>208</v>
      </c>
      <c r="F412" s="20">
        <v>906.34</v>
      </c>
      <c r="G412" s="19">
        <v>6</v>
      </c>
      <c r="H412" s="20">
        <v>2576.75</v>
      </c>
      <c r="I412" s="21">
        <v>4.0751999999999997</v>
      </c>
      <c r="J412" s="21">
        <v>2.8845999999999998</v>
      </c>
      <c r="K412" s="22">
        <v>184.3</v>
      </c>
      <c r="L412" s="20">
        <v>151.06</v>
      </c>
    </row>
    <row r="413" spans="1:12" x14ac:dyDescent="0.3">
      <c r="A413" s="13" t="s">
        <v>334</v>
      </c>
      <c r="B413" s="9" t="s">
        <v>63</v>
      </c>
      <c r="C413" s="9" t="s">
        <v>86</v>
      </c>
      <c r="D413" s="14">
        <v>5159</v>
      </c>
      <c r="E413" s="14">
        <v>436</v>
      </c>
      <c r="F413" s="15">
        <v>1919.4</v>
      </c>
      <c r="G413" s="14">
        <v>15</v>
      </c>
      <c r="H413" s="15">
        <v>4028.17</v>
      </c>
      <c r="I413" s="16">
        <v>8.4512999999999998</v>
      </c>
      <c r="J413" s="16">
        <v>3.4403999999999999</v>
      </c>
      <c r="K413" s="17">
        <v>109.87</v>
      </c>
      <c r="L413" s="15">
        <v>127.96</v>
      </c>
    </row>
    <row r="414" spans="1:12" x14ac:dyDescent="0.3">
      <c r="A414" s="18" t="s">
        <v>165</v>
      </c>
      <c r="B414" s="5" t="s">
        <v>63</v>
      </c>
      <c r="C414" s="5" t="s">
        <v>69</v>
      </c>
      <c r="D414" s="19">
        <v>4696</v>
      </c>
      <c r="E414" s="19">
        <v>203</v>
      </c>
      <c r="F414" s="20">
        <v>294.61</v>
      </c>
      <c r="G414" s="19">
        <v>14</v>
      </c>
      <c r="H414" s="20">
        <v>4109.93</v>
      </c>
      <c r="I414" s="21">
        <v>4.3228</v>
      </c>
      <c r="J414" s="21">
        <v>6.8966000000000003</v>
      </c>
      <c r="K414" s="22">
        <v>1295.04</v>
      </c>
      <c r="L414" s="20">
        <v>21.04</v>
      </c>
    </row>
    <row r="415" spans="1:12" x14ac:dyDescent="0.3">
      <c r="A415" s="13" t="s">
        <v>282</v>
      </c>
      <c r="B415" s="9" t="s">
        <v>63</v>
      </c>
      <c r="C415" s="9" t="s">
        <v>73</v>
      </c>
      <c r="D415" s="14">
        <v>944.71458080906302</v>
      </c>
      <c r="E415" s="14">
        <v>32.941489998522698</v>
      </c>
      <c r="F415" s="15">
        <v>97.018898139458102</v>
      </c>
      <c r="G415" s="14">
        <v>3.04415057222168</v>
      </c>
      <c r="H415" s="15">
        <v>0</v>
      </c>
      <c r="I415" s="16">
        <v>3.4868999999999999</v>
      </c>
      <c r="J415" s="16">
        <v>9.2410999999999994</v>
      </c>
      <c r="K415" s="17">
        <v>-100</v>
      </c>
      <c r="L415" s="15">
        <v>31.87</v>
      </c>
    </row>
    <row r="416" spans="1:12" ht="22.8" x14ac:dyDescent="0.3">
      <c r="A416" s="18" t="s">
        <v>335</v>
      </c>
      <c r="B416" s="5" t="s">
        <v>63</v>
      </c>
      <c r="C416" s="5" t="s">
        <v>91</v>
      </c>
      <c r="D416" s="19">
        <v>940</v>
      </c>
      <c r="E416" s="19">
        <v>40</v>
      </c>
      <c r="F416" s="20">
        <v>58.38</v>
      </c>
      <c r="G416" s="19">
        <v>1</v>
      </c>
      <c r="H416" s="20">
        <v>152.04</v>
      </c>
      <c r="I416" s="21">
        <v>4.2553000000000001</v>
      </c>
      <c r="J416" s="21">
        <v>2.5</v>
      </c>
      <c r="K416" s="22">
        <v>160.43</v>
      </c>
      <c r="L416" s="20">
        <v>58.38</v>
      </c>
    </row>
    <row r="417" spans="1:12" x14ac:dyDescent="0.3">
      <c r="A417" s="13" t="s">
        <v>169</v>
      </c>
      <c r="B417" s="9" t="s">
        <v>63</v>
      </c>
      <c r="C417" s="9" t="s">
        <v>71</v>
      </c>
      <c r="D417" s="14">
        <v>5221.7337502690398</v>
      </c>
      <c r="E417" s="14">
        <v>189.34691978070899</v>
      </c>
      <c r="F417" s="15">
        <v>322.99661924884799</v>
      </c>
      <c r="G417" s="14">
        <v>0</v>
      </c>
      <c r="H417" s="15">
        <v>1692.3364540965699</v>
      </c>
      <c r="I417" s="16">
        <v>3.6261000000000001</v>
      </c>
      <c r="J417" s="16">
        <v>0</v>
      </c>
      <c r="K417" s="17">
        <v>423.95</v>
      </c>
      <c r="L417" s="15">
        <v>0</v>
      </c>
    </row>
    <row r="418" spans="1:12" x14ac:dyDescent="0.3">
      <c r="A418" s="18" t="s">
        <v>187</v>
      </c>
      <c r="B418" s="5" t="s">
        <v>63</v>
      </c>
      <c r="C418" s="5" t="s">
        <v>73</v>
      </c>
      <c r="D418" s="19">
        <v>2045</v>
      </c>
      <c r="E418" s="19">
        <v>131</v>
      </c>
      <c r="F418" s="20">
        <v>574.54</v>
      </c>
      <c r="G418" s="19">
        <v>7</v>
      </c>
      <c r="H418" s="20">
        <v>1816.68</v>
      </c>
      <c r="I418" s="21">
        <v>6.4058999999999999</v>
      </c>
      <c r="J418" s="21">
        <v>5.3434999999999997</v>
      </c>
      <c r="K418" s="22">
        <v>216.2</v>
      </c>
      <c r="L418" s="20">
        <v>82.08</v>
      </c>
    </row>
    <row r="419" spans="1:12" x14ac:dyDescent="0.3">
      <c r="A419" s="13" t="s">
        <v>98</v>
      </c>
      <c r="B419" s="9" t="s">
        <v>63</v>
      </c>
      <c r="C419" s="9" t="s">
        <v>115</v>
      </c>
      <c r="D419" s="14">
        <v>7343</v>
      </c>
      <c r="E419" s="14">
        <v>417</v>
      </c>
      <c r="F419" s="15">
        <v>1510.55</v>
      </c>
      <c r="G419" s="14">
        <v>40</v>
      </c>
      <c r="H419" s="15">
        <v>10100.17</v>
      </c>
      <c r="I419" s="16">
        <v>5.6788999999999996</v>
      </c>
      <c r="J419" s="16">
        <v>9.5922999999999998</v>
      </c>
      <c r="K419" s="17">
        <v>568.64</v>
      </c>
      <c r="L419" s="15">
        <v>37.76</v>
      </c>
    </row>
    <row r="420" spans="1:12" x14ac:dyDescent="0.3">
      <c r="A420" s="18" t="s">
        <v>121</v>
      </c>
      <c r="B420" s="5" t="s">
        <v>63</v>
      </c>
      <c r="C420" s="5" t="s">
        <v>71</v>
      </c>
      <c r="D420" s="19">
        <v>6060</v>
      </c>
      <c r="E420" s="19">
        <v>498</v>
      </c>
      <c r="F420" s="20">
        <v>1075.3599999999999</v>
      </c>
      <c r="G420" s="19">
        <v>32</v>
      </c>
      <c r="H420" s="20">
        <v>8969.2999999999993</v>
      </c>
      <c r="I420" s="21">
        <v>8.2178000000000004</v>
      </c>
      <c r="J420" s="21">
        <v>6.4257</v>
      </c>
      <c r="K420" s="22">
        <v>734.07</v>
      </c>
      <c r="L420" s="20">
        <v>33.6</v>
      </c>
    </row>
    <row r="421" spans="1:12" x14ac:dyDescent="0.3">
      <c r="A421" s="13" t="s">
        <v>275</v>
      </c>
      <c r="B421" s="9" t="s">
        <v>63</v>
      </c>
      <c r="C421" s="9" t="s">
        <v>83</v>
      </c>
      <c r="D421" s="14">
        <v>6667</v>
      </c>
      <c r="E421" s="14">
        <v>220</v>
      </c>
      <c r="F421" s="15">
        <v>232.93</v>
      </c>
      <c r="G421" s="14">
        <v>7</v>
      </c>
      <c r="H421" s="15">
        <v>1252.42</v>
      </c>
      <c r="I421" s="16">
        <v>3.2997999999999998</v>
      </c>
      <c r="J421" s="16">
        <v>3.1818</v>
      </c>
      <c r="K421" s="17">
        <v>437.68</v>
      </c>
      <c r="L421" s="15">
        <v>33.28</v>
      </c>
    </row>
    <row r="422" spans="1:12" x14ac:dyDescent="0.3">
      <c r="A422" s="18" t="s">
        <v>267</v>
      </c>
      <c r="B422" s="5" t="s">
        <v>63</v>
      </c>
      <c r="C422" s="5" t="s">
        <v>115</v>
      </c>
      <c r="D422" s="19">
        <v>6167</v>
      </c>
      <c r="E422" s="19">
        <v>0</v>
      </c>
      <c r="F422" s="20">
        <v>682.64</v>
      </c>
      <c r="G422" s="19">
        <v>17</v>
      </c>
      <c r="H422" s="20">
        <v>2562.4299999999998</v>
      </c>
      <c r="I422" s="21">
        <v>0</v>
      </c>
      <c r="J422" s="21">
        <v>0</v>
      </c>
      <c r="K422" s="22">
        <v>275.37</v>
      </c>
      <c r="L422" s="20">
        <v>40.159999999999997</v>
      </c>
    </row>
    <row r="423" spans="1:12" x14ac:dyDescent="0.3">
      <c r="A423" s="13" t="s">
        <v>336</v>
      </c>
      <c r="B423" s="9" t="s">
        <v>63</v>
      </c>
      <c r="C423" s="9" t="s">
        <v>115</v>
      </c>
      <c r="D423" s="14">
        <v>3172</v>
      </c>
      <c r="E423" s="14">
        <v>242</v>
      </c>
      <c r="F423" s="15">
        <v>1023.72</v>
      </c>
      <c r="G423" s="14">
        <v>19</v>
      </c>
      <c r="H423" s="15">
        <v>0</v>
      </c>
      <c r="I423" s="16">
        <v>7.6292999999999997</v>
      </c>
      <c r="J423" s="16">
        <v>7.8512000000000004</v>
      </c>
      <c r="K423" s="17">
        <v>-100</v>
      </c>
      <c r="L423" s="15">
        <v>53.88</v>
      </c>
    </row>
    <row r="424" spans="1:12" x14ac:dyDescent="0.3">
      <c r="A424" s="18" t="s">
        <v>337</v>
      </c>
      <c r="B424" s="5" t="s">
        <v>63</v>
      </c>
      <c r="C424" s="5" t="s">
        <v>115</v>
      </c>
      <c r="D424" s="19">
        <v>1257</v>
      </c>
      <c r="E424" s="19">
        <v>69</v>
      </c>
      <c r="F424" s="20">
        <v>172.22</v>
      </c>
      <c r="G424" s="19">
        <v>0</v>
      </c>
      <c r="H424" s="20">
        <v>696.81</v>
      </c>
      <c r="I424" s="21">
        <v>5.4893000000000001</v>
      </c>
      <c r="J424" s="21">
        <v>0</v>
      </c>
      <c r="K424" s="22">
        <v>304.60000000000002</v>
      </c>
      <c r="L424" s="20">
        <v>0</v>
      </c>
    </row>
    <row r="425" spans="1:12" x14ac:dyDescent="0.3">
      <c r="A425" s="13" t="s">
        <v>318</v>
      </c>
      <c r="B425" s="9" t="s">
        <v>63</v>
      </c>
      <c r="C425" s="9" t="s">
        <v>71</v>
      </c>
      <c r="D425" s="14">
        <v>5738</v>
      </c>
      <c r="E425" s="14">
        <v>208</v>
      </c>
      <c r="F425" s="15">
        <v>737.41</v>
      </c>
      <c r="G425" s="14">
        <v>15</v>
      </c>
      <c r="H425" s="15">
        <v>3801.73</v>
      </c>
      <c r="I425" s="16">
        <v>3.625</v>
      </c>
      <c r="J425" s="16">
        <v>7.2115</v>
      </c>
      <c r="K425" s="17">
        <v>415.55</v>
      </c>
      <c r="L425" s="15">
        <v>49.16</v>
      </c>
    </row>
    <row r="426" spans="1:12" x14ac:dyDescent="0.3">
      <c r="A426" s="18" t="s">
        <v>133</v>
      </c>
      <c r="B426" s="5" t="s">
        <v>63</v>
      </c>
      <c r="C426" s="5" t="s">
        <v>86</v>
      </c>
      <c r="D426" s="19">
        <v>6180</v>
      </c>
      <c r="E426" s="19">
        <v>435</v>
      </c>
      <c r="F426" s="20">
        <v>537.86</v>
      </c>
      <c r="G426" s="19">
        <v>17</v>
      </c>
      <c r="H426" s="20">
        <v>7200.85</v>
      </c>
      <c r="I426" s="21">
        <v>7.0388000000000002</v>
      </c>
      <c r="J426" s="21">
        <v>3.9079999999999999</v>
      </c>
      <c r="K426" s="22">
        <v>1238.8</v>
      </c>
      <c r="L426" s="20">
        <v>31.64</v>
      </c>
    </row>
    <row r="427" spans="1:12" x14ac:dyDescent="0.3">
      <c r="A427" s="13" t="s">
        <v>189</v>
      </c>
      <c r="B427" s="9" t="s">
        <v>63</v>
      </c>
      <c r="C427" s="9" t="s">
        <v>69</v>
      </c>
      <c r="D427" s="14">
        <v>2266</v>
      </c>
      <c r="E427" s="14">
        <v>76</v>
      </c>
      <c r="F427" s="15">
        <v>241.4</v>
      </c>
      <c r="G427" s="14">
        <v>2</v>
      </c>
      <c r="H427" s="15">
        <v>358.28</v>
      </c>
      <c r="I427" s="16">
        <v>3.3538999999999999</v>
      </c>
      <c r="J427" s="16">
        <v>2.6316000000000002</v>
      </c>
      <c r="K427" s="17">
        <v>48.42</v>
      </c>
      <c r="L427" s="15">
        <v>120.7</v>
      </c>
    </row>
    <row r="428" spans="1:12" x14ac:dyDescent="0.3">
      <c r="A428" s="18" t="s">
        <v>338</v>
      </c>
      <c r="B428" s="5" t="s">
        <v>63</v>
      </c>
      <c r="C428" s="5"/>
      <c r="D428" s="19">
        <v>2235</v>
      </c>
      <c r="E428" s="19">
        <v>67</v>
      </c>
      <c r="F428" s="20">
        <v>294.3</v>
      </c>
      <c r="G428" s="19">
        <v>3</v>
      </c>
      <c r="H428" s="20">
        <v>985.92</v>
      </c>
      <c r="I428" s="21">
        <v>2.9977999999999998</v>
      </c>
      <c r="J428" s="21">
        <v>4.4775999999999998</v>
      </c>
      <c r="K428" s="22">
        <v>235.01</v>
      </c>
      <c r="L428" s="20">
        <v>98.1</v>
      </c>
    </row>
    <row r="429" spans="1:12" x14ac:dyDescent="0.3">
      <c r="A429" s="13" t="s">
        <v>255</v>
      </c>
      <c r="B429" s="9" t="s">
        <v>63</v>
      </c>
      <c r="C429" s="9" t="s">
        <v>64</v>
      </c>
      <c r="D429" s="14">
        <v>4919</v>
      </c>
      <c r="E429" s="14">
        <v>292</v>
      </c>
      <c r="F429" s="15">
        <v>902.55</v>
      </c>
      <c r="G429" s="14">
        <v>12</v>
      </c>
      <c r="H429" s="15">
        <v>4969.2700000000004</v>
      </c>
      <c r="I429" s="16">
        <v>5.9362000000000004</v>
      </c>
      <c r="J429" s="16">
        <v>4.1096000000000004</v>
      </c>
      <c r="K429" s="17">
        <v>450.58</v>
      </c>
      <c r="L429" s="15">
        <v>75.209999999999994</v>
      </c>
    </row>
    <row r="430" spans="1:12" x14ac:dyDescent="0.3">
      <c r="A430" s="18" t="s">
        <v>70</v>
      </c>
      <c r="B430" s="5" t="s">
        <v>63</v>
      </c>
      <c r="C430" s="5" t="s">
        <v>88</v>
      </c>
      <c r="D430" s="19">
        <v>2713</v>
      </c>
      <c r="E430" s="19">
        <v>229</v>
      </c>
      <c r="F430" s="20">
        <v>1019.41</v>
      </c>
      <c r="G430" s="19">
        <v>8</v>
      </c>
      <c r="H430" s="20">
        <v>3392.21</v>
      </c>
      <c r="I430" s="21">
        <v>8.4407999999999994</v>
      </c>
      <c r="J430" s="21">
        <v>3.4933999999999998</v>
      </c>
      <c r="K430" s="22">
        <v>232.76</v>
      </c>
      <c r="L430" s="20">
        <v>127.43</v>
      </c>
    </row>
    <row r="431" spans="1:12" x14ac:dyDescent="0.3">
      <c r="A431" s="13" t="s">
        <v>339</v>
      </c>
      <c r="B431" s="9" t="s">
        <v>63</v>
      </c>
      <c r="C431" s="9" t="s">
        <v>69</v>
      </c>
      <c r="D431" s="14">
        <v>5836</v>
      </c>
      <c r="E431" s="14">
        <v>416</v>
      </c>
      <c r="F431" s="15">
        <v>868.83</v>
      </c>
      <c r="G431" s="14">
        <v>27</v>
      </c>
      <c r="H431" s="15">
        <v>3306.89</v>
      </c>
      <c r="I431" s="16">
        <v>7.1281999999999996</v>
      </c>
      <c r="J431" s="16">
        <v>6.4904000000000002</v>
      </c>
      <c r="K431" s="17">
        <v>280.61</v>
      </c>
      <c r="L431" s="15">
        <v>32.18</v>
      </c>
    </row>
    <row r="432" spans="1:12" x14ac:dyDescent="0.3">
      <c r="A432" s="18" t="s">
        <v>340</v>
      </c>
      <c r="B432" s="5" t="s">
        <v>63</v>
      </c>
      <c r="C432" s="5" t="s">
        <v>67</v>
      </c>
      <c r="D432" s="19">
        <v>6383</v>
      </c>
      <c r="E432" s="19">
        <v>454</v>
      </c>
      <c r="F432" s="20">
        <v>1109.99</v>
      </c>
      <c r="G432" s="19">
        <v>34</v>
      </c>
      <c r="H432" s="20">
        <v>14376.88</v>
      </c>
      <c r="I432" s="21">
        <v>7.1125999999999996</v>
      </c>
      <c r="J432" s="21">
        <v>7.4889999999999999</v>
      </c>
      <c r="K432" s="22">
        <v>1195.23</v>
      </c>
      <c r="L432" s="20">
        <v>32.65</v>
      </c>
    </row>
    <row r="433" spans="1:12" x14ac:dyDescent="0.3">
      <c r="A433" s="13" t="s">
        <v>72</v>
      </c>
      <c r="B433" s="9" t="s">
        <v>63</v>
      </c>
      <c r="C433" s="9" t="s">
        <v>88</v>
      </c>
      <c r="D433" s="14">
        <v>4757</v>
      </c>
      <c r="E433" s="14">
        <v>321</v>
      </c>
      <c r="F433" s="15">
        <v>327.39999999999998</v>
      </c>
      <c r="G433" s="14">
        <v>11</v>
      </c>
      <c r="H433" s="15">
        <v>5164.6899999999996</v>
      </c>
      <c r="I433" s="16">
        <v>6.7480000000000002</v>
      </c>
      <c r="J433" s="16">
        <v>3.4268000000000001</v>
      </c>
      <c r="K433" s="17">
        <v>1477.49</v>
      </c>
      <c r="L433" s="15">
        <v>29.76</v>
      </c>
    </row>
    <row r="434" spans="1:12" x14ac:dyDescent="0.3">
      <c r="A434" s="18" t="s">
        <v>331</v>
      </c>
      <c r="B434" s="5" t="s">
        <v>63</v>
      </c>
      <c r="C434" s="5" t="s">
        <v>67</v>
      </c>
      <c r="D434" s="19">
        <v>6244</v>
      </c>
      <c r="E434" s="19">
        <v>435</v>
      </c>
      <c r="F434" s="20">
        <v>1721.12</v>
      </c>
      <c r="G434" s="19">
        <v>19</v>
      </c>
      <c r="H434" s="20">
        <v>6704.35</v>
      </c>
      <c r="I434" s="21">
        <v>6.9667000000000003</v>
      </c>
      <c r="J434" s="21">
        <v>4.3677999999999999</v>
      </c>
      <c r="K434" s="22">
        <v>289.52999999999997</v>
      </c>
      <c r="L434" s="20">
        <v>90.59</v>
      </c>
    </row>
    <row r="435" spans="1:12" x14ac:dyDescent="0.3">
      <c r="A435" s="13" t="s">
        <v>208</v>
      </c>
      <c r="B435" s="9" t="s">
        <v>63</v>
      </c>
      <c r="C435" s="9"/>
      <c r="D435" s="14">
        <v>3058</v>
      </c>
      <c r="E435" s="14">
        <v>164</v>
      </c>
      <c r="F435" s="15">
        <v>528.83000000000004</v>
      </c>
      <c r="G435" s="14">
        <v>14</v>
      </c>
      <c r="H435" s="15">
        <v>6588.32</v>
      </c>
      <c r="I435" s="16">
        <v>5.3630000000000004</v>
      </c>
      <c r="J435" s="16">
        <v>8.5366</v>
      </c>
      <c r="K435" s="17">
        <v>1145.83</v>
      </c>
      <c r="L435" s="15">
        <v>37.770000000000003</v>
      </c>
    </row>
    <row r="436" spans="1:12" x14ac:dyDescent="0.3">
      <c r="A436" s="18" t="s">
        <v>101</v>
      </c>
      <c r="B436" s="5" t="s">
        <v>63</v>
      </c>
      <c r="C436" s="5" t="s">
        <v>88</v>
      </c>
      <c r="D436" s="19">
        <v>2683</v>
      </c>
      <c r="E436" s="19">
        <v>123</v>
      </c>
      <c r="F436" s="20">
        <v>141.66</v>
      </c>
      <c r="G436" s="19">
        <v>11</v>
      </c>
      <c r="H436" s="20">
        <v>4741.34</v>
      </c>
      <c r="I436" s="21">
        <v>4.5843999999999996</v>
      </c>
      <c r="J436" s="21">
        <v>8.9430999999999994</v>
      </c>
      <c r="K436" s="22">
        <v>3246.99</v>
      </c>
      <c r="L436" s="20">
        <v>12.88</v>
      </c>
    </row>
    <row r="437" spans="1:12" x14ac:dyDescent="0.3">
      <c r="A437" s="13" t="s">
        <v>341</v>
      </c>
      <c r="B437" s="9" t="s">
        <v>63</v>
      </c>
      <c r="C437" s="9" t="s">
        <v>67</v>
      </c>
      <c r="D437" s="14">
        <v>749</v>
      </c>
      <c r="E437" s="14">
        <v>24</v>
      </c>
      <c r="F437" s="15">
        <v>79.239999999999995</v>
      </c>
      <c r="G437" s="14">
        <v>0</v>
      </c>
      <c r="H437" s="15">
        <v>0</v>
      </c>
      <c r="I437" s="16">
        <v>3.2042999999999999</v>
      </c>
      <c r="J437" s="16">
        <v>0</v>
      </c>
      <c r="K437" s="17">
        <v>-100</v>
      </c>
      <c r="L437" s="15">
        <v>0</v>
      </c>
    </row>
    <row r="438" spans="1:12" x14ac:dyDescent="0.3">
      <c r="A438" s="18" t="s">
        <v>342</v>
      </c>
      <c r="B438" s="5" t="s">
        <v>63</v>
      </c>
      <c r="C438" s="5" t="s">
        <v>83</v>
      </c>
      <c r="D438" s="19">
        <v>3212</v>
      </c>
      <c r="E438" s="19">
        <v>266</v>
      </c>
      <c r="F438" s="20">
        <v>410.69</v>
      </c>
      <c r="G438" s="19">
        <v>22</v>
      </c>
      <c r="H438" s="20">
        <v>4340.99</v>
      </c>
      <c r="I438" s="21">
        <v>8.2813999999999997</v>
      </c>
      <c r="J438" s="21">
        <v>8.2706999999999997</v>
      </c>
      <c r="K438" s="22">
        <v>957</v>
      </c>
      <c r="L438" s="20">
        <v>18.670000000000002</v>
      </c>
    </row>
    <row r="439" spans="1:12" x14ac:dyDescent="0.3">
      <c r="A439" s="13" t="s">
        <v>313</v>
      </c>
      <c r="B439" s="9" t="s">
        <v>63</v>
      </c>
      <c r="C439" s="9" t="s">
        <v>88</v>
      </c>
      <c r="D439" s="14">
        <v>1654</v>
      </c>
      <c r="E439" s="14">
        <v>111</v>
      </c>
      <c r="F439" s="15">
        <v>367.29</v>
      </c>
      <c r="G439" s="14">
        <v>9</v>
      </c>
      <c r="H439" s="15">
        <v>3159.52</v>
      </c>
      <c r="I439" s="16">
        <v>6.7110000000000003</v>
      </c>
      <c r="J439" s="16">
        <v>8.1081000000000003</v>
      </c>
      <c r="K439" s="17">
        <v>760.22</v>
      </c>
      <c r="L439" s="15">
        <v>40.81</v>
      </c>
    </row>
    <row r="440" spans="1:12" x14ac:dyDescent="0.3">
      <c r="A440" s="18" t="s">
        <v>330</v>
      </c>
      <c r="B440" s="5" t="s">
        <v>63</v>
      </c>
      <c r="C440" s="5" t="s">
        <v>71</v>
      </c>
      <c r="D440" s="19">
        <v>2733</v>
      </c>
      <c r="E440" s="19">
        <v>107</v>
      </c>
      <c r="F440" s="20">
        <v>231.58</v>
      </c>
      <c r="G440" s="19">
        <v>6</v>
      </c>
      <c r="H440" s="20">
        <v>1630.48</v>
      </c>
      <c r="I440" s="21">
        <v>3.9150999999999998</v>
      </c>
      <c r="J440" s="21">
        <v>5.6074999999999999</v>
      </c>
      <c r="K440" s="22">
        <v>604.07000000000005</v>
      </c>
      <c r="L440" s="20">
        <v>38.6</v>
      </c>
    </row>
    <row r="441" spans="1:12" x14ac:dyDescent="0.3">
      <c r="A441" s="13" t="s">
        <v>142</v>
      </c>
      <c r="B441" s="9" t="s">
        <v>63</v>
      </c>
      <c r="C441" s="9"/>
      <c r="D441" s="14">
        <v>2326</v>
      </c>
      <c r="E441" s="14">
        <v>77</v>
      </c>
      <c r="F441" s="15">
        <v>94.95</v>
      </c>
      <c r="G441" s="14">
        <v>3</v>
      </c>
      <c r="H441" s="15">
        <v>651.61</v>
      </c>
      <c r="I441" s="16">
        <v>3.3104</v>
      </c>
      <c r="J441" s="16">
        <v>3.8961000000000001</v>
      </c>
      <c r="K441" s="17">
        <v>586.27</v>
      </c>
      <c r="L441" s="15">
        <v>31.65</v>
      </c>
    </row>
    <row r="442" spans="1:12" x14ac:dyDescent="0.3">
      <c r="A442" s="18" t="s">
        <v>291</v>
      </c>
      <c r="B442" s="5" t="s">
        <v>63</v>
      </c>
      <c r="C442" s="5" t="s">
        <v>71</v>
      </c>
      <c r="D442" s="19">
        <v>1053</v>
      </c>
      <c r="E442" s="19">
        <v>66</v>
      </c>
      <c r="F442" s="20">
        <v>157.86000000000001</v>
      </c>
      <c r="G442" s="19">
        <v>5</v>
      </c>
      <c r="H442" s="20">
        <v>0</v>
      </c>
      <c r="I442" s="21">
        <v>6.2678000000000003</v>
      </c>
      <c r="J442" s="21">
        <v>7.5758000000000001</v>
      </c>
      <c r="K442" s="22">
        <v>-100</v>
      </c>
      <c r="L442" s="20">
        <v>31.57</v>
      </c>
    </row>
    <row r="443" spans="1:12" x14ac:dyDescent="0.3">
      <c r="A443" s="13" t="s">
        <v>343</v>
      </c>
      <c r="B443" s="9" t="s">
        <v>63</v>
      </c>
      <c r="C443" s="9" t="s">
        <v>69</v>
      </c>
      <c r="D443" s="14">
        <v>2744</v>
      </c>
      <c r="E443" s="14">
        <v>148</v>
      </c>
      <c r="F443" s="15">
        <v>569.98</v>
      </c>
      <c r="G443" s="14">
        <v>8</v>
      </c>
      <c r="H443" s="15">
        <v>2227.7199999999998</v>
      </c>
      <c r="I443" s="16">
        <v>5.3936000000000002</v>
      </c>
      <c r="J443" s="16">
        <v>5.4054000000000002</v>
      </c>
      <c r="K443" s="17">
        <v>290.83999999999997</v>
      </c>
      <c r="L443" s="15">
        <v>71.25</v>
      </c>
    </row>
    <row r="444" spans="1:12" x14ac:dyDescent="0.3">
      <c r="A444" s="18" t="s">
        <v>94</v>
      </c>
      <c r="B444" s="5" t="s">
        <v>63</v>
      </c>
      <c r="C444" s="5" t="s">
        <v>88</v>
      </c>
      <c r="D444" s="19">
        <v>0</v>
      </c>
      <c r="E444" s="19">
        <v>72.405880751606702</v>
      </c>
      <c r="F444" s="20">
        <v>80.243052845843593</v>
      </c>
      <c r="G444" s="19">
        <v>0</v>
      </c>
      <c r="H444" s="20">
        <v>755.72736507645595</v>
      </c>
      <c r="I444" s="21">
        <v>0</v>
      </c>
      <c r="J444" s="21">
        <v>0</v>
      </c>
      <c r="K444" s="22">
        <v>841.8</v>
      </c>
      <c r="L444" s="20">
        <v>0</v>
      </c>
    </row>
    <row r="445" spans="1:12" x14ac:dyDescent="0.3">
      <c r="A445" s="13" t="s">
        <v>344</v>
      </c>
      <c r="B445" s="9" t="s">
        <v>63</v>
      </c>
      <c r="C445" s="9" t="s">
        <v>64</v>
      </c>
      <c r="D445" s="14">
        <v>1152</v>
      </c>
      <c r="E445" s="14">
        <v>55</v>
      </c>
      <c r="F445" s="15">
        <v>224.23</v>
      </c>
      <c r="G445" s="14">
        <v>2</v>
      </c>
      <c r="H445" s="15">
        <v>585.49</v>
      </c>
      <c r="I445" s="16">
        <v>4.7743000000000002</v>
      </c>
      <c r="J445" s="16">
        <v>3.6364000000000001</v>
      </c>
      <c r="K445" s="17">
        <v>161.11000000000001</v>
      </c>
      <c r="L445" s="15">
        <v>112.12</v>
      </c>
    </row>
    <row r="446" spans="1:12" x14ac:dyDescent="0.3">
      <c r="A446" s="18" t="s">
        <v>148</v>
      </c>
      <c r="B446" s="5" t="s">
        <v>63</v>
      </c>
      <c r="C446" s="5" t="s">
        <v>115</v>
      </c>
      <c r="D446" s="19">
        <v>5071</v>
      </c>
      <c r="E446" s="19">
        <v>397</v>
      </c>
      <c r="F446" s="20">
        <v>1540.79</v>
      </c>
      <c r="G446" s="19">
        <v>17</v>
      </c>
      <c r="H446" s="20">
        <v>5518.77</v>
      </c>
      <c r="I446" s="21">
        <v>7.8288000000000002</v>
      </c>
      <c r="J446" s="21">
        <v>4.2820999999999998</v>
      </c>
      <c r="K446" s="22">
        <v>258.18</v>
      </c>
      <c r="L446" s="20">
        <v>90.63</v>
      </c>
    </row>
    <row r="447" spans="1:12" x14ac:dyDescent="0.3">
      <c r="A447" s="13" t="s">
        <v>345</v>
      </c>
      <c r="B447" s="9" t="s">
        <v>63</v>
      </c>
      <c r="C447" s="9" t="s">
        <v>67</v>
      </c>
      <c r="D447" s="14">
        <v>0</v>
      </c>
      <c r="E447" s="14">
        <v>383</v>
      </c>
      <c r="F447" s="15">
        <v>624.27</v>
      </c>
      <c r="G447" s="14">
        <v>29</v>
      </c>
      <c r="H447" s="15">
        <v>9056.66</v>
      </c>
      <c r="I447" s="16">
        <v>0</v>
      </c>
      <c r="J447" s="16">
        <v>7.5717999999999996</v>
      </c>
      <c r="K447" s="17">
        <v>1350.76</v>
      </c>
      <c r="L447" s="15">
        <v>21.53</v>
      </c>
    </row>
    <row r="448" spans="1:12" x14ac:dyDescent="0.3">
      <c r="A448" s="18" t="s">
        <v>211</v>
      </c>
      <c r="B448" s="5" t="s">
        <v>63</v>
      </c>
      <c r="C448" s="5" t="s">
        <v>73</v>
      </c>
      <c r="D448" s="19">
        <v>3363</v>
      </c>
      <c r="E448" s="19">
        <v>231</v>
      </c>
      <c r="F448" s="20">
        <v>826.2</v>
      </c>
      <c r="G448" s="19">
        <v>18</v>
      </c>
      <c r="H448" s="20">
        <v>6287.74</v>
      </c>
      <c r="I448" s="21">
        <v>6.8689</v>
      </c>
      <c r="J448" s="21">
        <v>7.7922000000000002</v>
      </c>
      <c r="K448" s="22">
        <v>661.04</v>
      </c>
      <c r="L448" s="20">
        <v>45.9</v>
      </c>
    </row>
    <row r="449" spans="1:12" x14ac:dyDescent="0.3">
      <c r="A449" s="13" t="s">
        <v>291</v>
      </c>
      <c r="B449" s="9" t="s">
        <v>63</v>
      </c>
      <c r="C449" s="9" t="s">
        <v>88</v>
      </c>
      <c r="D449" s="14">
        <v>726</v>
      </c>
      <c r="E449" s="14">
        <v>58</v>
      </c>
      <c r="F449" s="15">
        <v>55.35</v>
      </c>
      <c r="G449" s="14">
        <v>4</v>
      </c>
      <c r="H449" s="15">
        <v>1034.8</v>
      </c>
      <c r="I449" s="16">
        <v>7.9889999999999999</v>
      </c>
      <c r="J449" s="16">
        <v>6.8966000000000003</v>
      </c>
      <c r="K449" s="17">
        <v>1769.56</v>
      </c>
      <c r="L449" s="15">
        <v>13.84</v>
      </c>
    </row>
    <row r="450" spans="1:12" x14ac:dyDescent="0.3">
      <c r="A450" s="18" t="s">
        <v>183</v>
      </c>
      <c r="B450" s="5" t="s">
        <v>63</v>
      </c>
      <c r="C450" s="5" t="s">
        <v>67</v>
      </c>
      <c r="D450" s="19">
        <v>1675</v>
      </c>
      <c r="E450" s="19">
        <v>149</v>
      </c>
      <c r="F450" s="20">
        <v>368.9</v>
      </c>
      <c r="G450" s="19">
        <v>7</v>
      </c>
      <c r="H450" s="20">
        <v>3215.8</v>
      </c>
      <c r="I450" s="21">
        <v>8.8955000000000002</v>
      </c>
      <c r="J450" s="21">
        <v>4.6980000000000004</v>
      </c>
      <c r="K450" s="22">
        <v>771.73</v>
      </c>
      <c r="L450" s="20">
        <v>52.7</v>
      </c>
    </row>
    <row r="451" spans="1:12" x14ac:dyDescent="0.3">
      <c r="A451" s="13" t="s">
        <v>270</v>
      </c>
      <c r="B451" s="9" t="s">
        <v>63</v>
      </c>
      <c r="C451" s="9" t="s">
        <v>115</v>
      </c>
      <c r="D451" s="14">
        <v>4541</v>
      </c>
      <c r="E451" s="14">
        <v>286</v>
      </c>
      <c r="F451" s="15">
        <v>926.28</v>
      </c>
      <c r="G451" s="14">
        <v>10</v>
      </c>
      <c r="H451" s="15">
        <v>2499.5500000000002</v>
      </c>
      <c r="I451" s="16">
        <v>6.2981999999999996</v>
      </c>
      <c r="J451" s="16">
        <v>3.4965000000000002</v>
      </c>
      <c r="K451" s="17">
        <v>169.85</v>
      </c>
      <c r="L451" s="15">
        <v>92.63</v>
      </c>
    </row>
    <row r="452" spans="1:12" x14ac:dyDescent="0.3">
      <c r="A452" s="18" t="s">
        <v>311</v>
      </c>
      <c r="B452" s="5" t="s">
        <v>63</v>
      </c>
      <c r="C452" s="5" t="s">
        <v>73</v>
      </c>
      <c r="D452" s="19">
        <v>1854</v>
      </c>
      <c r="E452" s="19">
        <v>82</v>
      </c>
      <c r="F452" s="20">
        <v>298.51</v>
      </c>
      <c r="G452" s="19">
        <v>7</v>
      </c>
      <c r="H452" s="20">
        <v>2258.35</v>
      </c>
      <c r="I452" s="21">
        <v>4.4229000000000003</v>
      </c>
      <c r="J452" s="21">
        <v>8.5366</v>
      </c>
      <c r="K452" s="22">
        <v>656.54</v>
      </c>
      <c r="L452" s="20">
        <v>42.64</v>
      </c>
    </row>
    <row r="453" spans="1:12" x14ac:dyDescent="0.3">
      <c r="A453" s="13" t="s">
        <v>193</v>
      </c>
      <c r="B453" s="9" t="s">
        <v>63</v>
      </c>
      <c r="C453" s="9" t="s">
        <v>69</v>
      </c>
      <c r="D453" s="14">
        <v>0</v>
      </c>
      <c r="E453" s="14">
        <v>204</v>
      </c>
      <c r="F453" s="15">
        <v>706.83</v>
      </c>
      <c r="G453" s="14">
        <v>12</v>
      </c>
      <c r="H453" s="15">
        <v>3450.26</v>
      </c>
      <c r="I453" s="16">
        <v>0</v>
      </c>
      <c r="J453" s="16">
        <v>5.8823999999999996</v>
      </c>
      <c r="K453" s="17">
        <v>388.13</v>
      </c>
      <c r="L453" s="15">
        <v>58.9</v>
      </c>
    </row>
    <row r="454" spans="1:12" x14ac:dyDescent="0.3">
      <c r="A454" s="18" t="s">
        <v>203</v>
      </c>
      <c r="B454" s="5" t="s">
        <v>63</v>
      </c>
      <c r="C454" s="5" t="s">
        <v>64</v>
      </c>
      <c r="D454" s="19">
        <v>548</v>
      </c>
      <c r="E454" s="19">
        <v>22</v>
      </c>
      <c r="F454" s="20">
        <v>82.27</v>
      </c>
      <c r="G454" s="19">
        <v>1</v>
      </c>
      <c r="H454" s="20">
        <v>358.6</v>
      </c>
      <c r="I454" s="21">
        <v>4.0145999999999997</v>
      </c>
      <c r="J454" s="21">
        <v>4.5454999999999997</v>
      </c>
      <c r="K454" s="22">
        <v>335.88</v>
      </c>
      <c r="L454" s="20">
        <v>82.27</v>
      </c>
    </row>
    <row r="455" spans="1:12" x14ac:dyDescent="0.3">
      <c r="A455" s="13" t="s">
        <v>170</v>
      </c>
      <c r="B455" s="9" t="s">
        <v>63</v>
      </c>
      <c r="C455" s="9" t="s">
        <v>115</v>
      </c>
      <c r="D455" s="14">
        <v>4105</v>
      </c>
      <c r="E455" s="14">
        <v>153</v>
      </c>
      <c r="F455" s="15">
        <v>575.4</v>
      </c>
      <c r="G455" s="14">
        <v>15</v>
      </c>
      <c r="H455" s="15">
        <v>2569.19</v>
      </c>
      <c r="I455" s="16">
        <v>3.7271999999999998</v>
      </c>
      <c r="J455" s="16">
        <v>9.8039000000000005</v>
      </c>
      <c r="K455" s="17">
        <v>346.51</v>
      </c>
      <c r="L455" s="15">
        <v>38.36</v>
      </c>
    </row>
    <row r="456" spans="1:12" x14ac:dyDescent="0.3">
      <c r="A456" s="18" t="s">
        <v>89</v>
      </c>
      <c r="B456" s="5" t="s">
        <v>63</v>
      </c>
      <c r="C456" s="5" t="s">
        <v>88</v>
      </c>
      <c r="D456" s="19">
        <v>1894</v>
      </c>
      <c r="E456" s="19">
        <v>166</v>
      </c>
      <c r="F456" s="20">
        <v>710.34</v>
      </c>
      <c r="G456" s="19">
        <v>7</v>
      </c>
      <c r="H456" s="20">
        <v>1686.18</v>
      </c>
      <c r="I456" s="21">
        <v>8.7645</v>
      </c>
      <c r="J456" s="21">
        <v>4.2168999999999999</v>
      </c>
      <c r="K456" s="22">
        <v>137.38</v>
      </c>
      <c r="L456" s="20">
        <v>101.48</v>
      </c>
    </row>
    <row r="457" spans="1:12" x14ac:dyDescent="0.3">
      <c r="A457" s="13" t="s">
        <v>283</v>
      </c>
      <c r="B457" s="9" t="s">
        <v>63</v>
      </c>
      <c r="C457" s="9" t="s">
        <v>73</v>
      </c>
      <c r="D457" s="14">
        <v>2757</v>
      </c>
      <c r="E457" s="14">
        <v>230</v>
      </c>
      <c r="F457" s="15">
        <v>796.32</v>
      </c>
      <c r="G457" s="14">
        <v>7</v>
      </c>
      <c r="H457" s="15">
        <v>2757.97</v>
      </c>
      <c r="I457" s="16">
        <v>8.3423999999999996</v>
      </c>
      <c r="J457" s="16">
        <v>3.0434999999999999</v>
      </c>
      <c r="K457" s="17">
        <v>246.34</v>
      </c>
      <c r="L457" s="15">
        <v>113.76</v>
      </c>
    </row>
    <row r="458" spans="1:12" x14ac:dyDescent="0.3">
      <c r="A458" s="18" t="s">
        <v>346</v>
      </c>
      <c r="B458" s="5" t="s">
        <v>63</v>
      </c>
      <c r="C458" s="5" t="s">
        <v>73</v>
      </c>
      <c r="D458" s="19">
        <v>7441</v>
      </c>
      <c r="E458" s="19">
        <v>374</v>
      </c>
      <c r="F458" s="20">
        <v>1254.02</v>
      </c>
      <c r="G458" s="19">
        <v>18</v>
      </c>
      <c r="H458" s="20">
        <v>2713.11</v>
      </c>
      <c r="I458" s="21">
        <v>5.0262000000000002</v>
      </c>
      <c r="J458" s="21">
        <v>4.8128000000000002</v>
      </c>
      <c r="K458" s="22">
        <v>116.35</v>
      </c>
      <c r="L458" s="20">
        <v>69.67</v>
      </c>
    </row>
    <row r="459" spans="1:12" x14ac:dyDescent="0.3">
      <c r="A459" s="13" t="s">
        <v>213</v>
      </c>
      <c r="B459" s="9" t="s">
        <v>63</v>
      </c>
      <c r="C459" s="9" t="s">
        <v>67</v>
      </c>
      <c r="D459" s="14">
        <v>4157</v>
      </c>
      <c r="E459" s="14">
        <v>373</v>
      </c>
      <c r="F459" s="15">
        <v>723.07</v>
      </c>
      <c r="G459" s="14">
        <v>13</v>
      </c>
      <c r="H459" s="15">
        <v>6129.9</v>
      </c>
      <c r="I459" s="16">
        <v>8.9727999999999994</v>
      </c>
      <c r="J459" s="16">
        <v>3.4853000000000001</v>
      </c>
      <c r="K459" s="17">
        <v>747.76</v>
      </c>
      <c r="L459" s="15">
        <v>55.62</v>
      </c>
    </row>
    <row r="460" spans="1:12" x14ac:dyDescent="0.3">
      <c r="A460" s="18" t="s">
        <v>300</v>
      </c>
      <c r="B460" s="5" t="s">
        <v>63</v>
      </c>
      <c r="C460" s="5" t="s">
        <v>71</v>
      </c>
      <c r="D460" s="19">
        <v>1776</v>
      </c>
      <c r="E460" s="19">
        <v>148</v>
      </c>
      <c r="F460" s="20">
        <v>306.52999999999997</v>
      </c>
      <c r="G460" s="19">
        <v>8</v>
      </c>
      <c r="H460" s="20">
        <v>3825.66</v>
      </c>
      <c r="I460" s="21">
        <v>8.3332999999999995</v>
      </c>
      <c r="J460" s="21">
        <v>5.4054000000000002</v>
      </c>
      <c r="K460" s="22">
        <v>1148.05</v>
      </c>
      <c r="L460" s="20">
        <v>38.32</v>
      </c>
    </row>
    <row r="461" spans="1:12" ht="22.8" x14ac:dyDescent="0.3">
      <c r="A461" s="13" t="s">
        <v>253</v>
      </c>
      <c r="B461" s="9" t="s">
        <v>63</v>
      </c>
      <c r="C461" s="9" t="s">
        <v>91</v>
      </c>
      <c r="D461" s="14">
        <v>4555</v>
      </c>
      <c r="E461" s="14">
        <v>309</v>
      </c>
      <c r="F461" s="15">
        <v>1180.8</v>
      </c>
      <c r="G461" s="14">
        <v>29</v>
      </c>
      <c r="H461" s="15">
        <v>4175.13</v>
      </c>
      <c r="I461" s="16">
        <v>6.7838000000000003</v>
      </c>
      <c r="J461" s="16">
        <v>9.3850999999999996</v>
      </c>
      <c r="K461" s="17">
        <v>253.58</v>
      </c>
      <c r="L461" s="15">
        <v>40.72</v>
      </c>
    </row>
    <row r="462" spans="1:12" x14ac:dyDescent="0.3">
      <c r="A462" s="18" t="s">
        <v>301</v>
      </c>
      <c r="B462" s="5" t="s">
        <v>63</v>
      </c>
      <c r="C462" s="5" t="s">
        <v>71</v>
      </c>
      <c r="D462" s="19">
        <v>5787</v>
      </c>
      <c r="E462" s="19">
        <v>263</v>
      </c>
      <c r="F462" s="20">
        <v>400.91</v>
      </c>
      <c r="G462" s="19">
        <v>7</v>
      </c>
      <c r="H462" s="20">
        <v>2941.11</v>
      </c>
      <c r="I462" s="21">
        <v>4.5446999999999997</v>
      </c>
      <c r="J462" s="21">
        <v>2.6616</v>
      </c>
      <c r="K462" s="22">
        <v>633.61</v>
      </c>
      <c r="L462" s="20">
        <v>57.27</v>
      </c>
    </row>
    <row r="463" spans="1:12" x14ac:dyDescent="0.3">
      <c r="A463" s="13" t="s">
        <v>79</v>
      </c>
      <c r="B463" s="9" t="s">
        <v>63</v>
      </c>
      <c r="C463" s="9"/>
      <c r="D463" s="14">
        <v>7792</v>
      </c>
      <c r="E463" s="14">
        <v>435</v>
      </c>
      <c r="F463" s="15">
        <v>1814.79</v>
      </c>
      <c r="G463" s="14">
        <v>37</v>
      </c>
      <c r="H463" s="15">
        <v>11326.97</v>
      </c>
      <c r="I463" s="16">
        <v>5.5826000000000002</v>
      </c>
      <c r="J463" s="16">
        <v>8.5056999999999992</v>
      </c>
      <c r="K463" s="17">
        <v>524.15</v>
      </c>
      <c r="L463" s="15">
        <v>49.05</v>
      </c>
    </row>
    <row r="464" spans="1:12" ht="22.8" x14ac:dyDescent="0.3">
      <c r="A464" s="18" t="s">
        <v>347</v>
      </c>
      <c r="B464" s="5" t="s">
        <v>63</v>
      </c>
      <c r="C464" s="5" t="s">
        <v>91</v>
      </c>
      <c r="D464" s="19">
        <v>5179</v>
      </c>
      <c r="E464" s="19">
        <v>410</v>
      </c>
      <c r="F464" s="20">
        <v>1756.31</v>
      </c>
      <c r="G464" s="19">
        <v>17</v>
      </c>
      <c r="H464" s="20">
        <v>2897.23</v>
      </c>
      <c r="I464" s="21">
        <v>7.9165999999999999</v>
      </c>
      <c r="J464" s="21">
        <v>4.1463000000000001</v>
      </c>
      <c r="K464" s="22">
        <v>64.959999999999994</v>
      </c>
      <c r="L464" s="20">
        <v>103.31</v>
      </c>
    </row>
    <row r="465" spans="1:12" x14ac:dyDescent="0.3">
      <c r="A465" s="13" t="s">
        <v>291</v>
      </c>
      <c r="B465" s="9" t="s">
        <v>63</v>
      </c>
      <c r="C465" s="9" t="s">
        <v>86</v>
      </c>
      <c r="D465" s="14">
        <v>5564</v>
      </c>
      <c r="E465" s="14">
        <v>257</v>
      </c>
      <c r="F465" s="15">
        <v>1107.29</v>
      </c>
      <c r="G465" s="14">
        <v>18</v>
      </c>
      <c r="H465" s="15">
        <v>6094.24</v>
      </c>
      <c r="I465" s="16">
        <v>4.6189999999999998</v>
      </c>
      <c r="J465" s="16">
        <v>7.0038999999999998</v>
      </c>
      <c r="K465" s="17">
        <v>450.37</v>
      </c>
      <c r="L465" s="15">
        <v>61.52</v>
      </c>
    </row>
    <row r="466" spans="1:12" x14ac:dyDescent="0.3">
      <c r="A466" s="18" t="s">
        <v>282</v>
      </c>
      <c r="B466" s="5" t="s">
        <v>63</v>
      </c>
      <c r="C466" s="5" t="s">
        <v>86</v>
      </c>
      <c r="D466" s="19">
        <v>1392</v>
      </c>
      <c r="E466" s="19">
        <v>66</v>
      </c>
      <c r="F466" s="20">
        <v>234.41</v>
      </c>
      <c r="G466" s="19">
        <v>4</v>
      </c>
      <c r="H466" s="20">
        <v>1713.85</v>
      </c>
      <c r="I466" s="21">
        <v>4.7413999999999996</v>
      </c>
      <c r="J466" s="21">
        <v>6.0606</v>
      </c>
      <c r="K466" s="22">
        <v>631.13</v>
      </c>
      <c r="L466" s="20">
        <v>58.6</v>
      </c>
    </row>
    <row r="467" spans="1:12" x14ac:dyDescent="0.3">
      <c r="A467" s="13" t="s">
        <v>262</v>
      </c>
      <c r="B467" s="9" t="s">
        <v>63</v>
      </c>
      <c r="C467" s="9" t="s">
        <v>86</v>
      </c>
      <c r="D467" s="14">
        <v>1692</v>
      </c>
      <c r="E467" s="14">
        <v>72</v>
      </c>
      <c r="F467" s="15">
        <v>245.2</v>
      </c>
      <c r="G467" s="14">
        <v>6</v>
      </c>
      <c r="H467" s="15">
        <v>0</v>
      </c>
      <c r="I467" s="16">
        <v>4.2553000000000001</v>
      </c>
      <c r="J467" s="16">
        <v>8.3332999999999995</v>
      </c>
      <c r="K467" s="17">
        <v>-100</v>
      </c>
      <c r="L467" s="15">
        <v>40.869999999999997</v>
      </c>
    </row>
    <row r="468" spans="1:12" x14ac:dyDescent="0.3">
      <c r="A468" s="18" t="s">
        <v>252</v>
      </c>
      <c r="B468" s="5" t="s">
        <v>63</v>
      </c>
      <c r="C468" s="5" t="s">
        <v>115</v>
      </c>
      <c r="D468" s="19">
        <v>6540</v>
      </c>
      <c r="E468" s="19">
        <v>541</v>
      </c>
      <c r="F468" s="20">
        <v>588.38</v>
      </c>
      <c r="G468" s="19">
        <v>45</v>
      </c>
      <c r="H468" s="20">
        <v>8780.07</v>
      </c>
      <c r="I468" s="21">
        <v>8.2721999999999998</v>
      </c>
      <c r="J468" s="21">
        <v>8.3178999999999998</v>
      </c>
      <c r="K468" s="22">
        <v>1392.24</v>
      </c>
      <c r="L468" s="20">
        <v>13.08</v>
      </c>
    </row>
    <row r="469" spans="1:12" x14ac:dyDescent="0.3">
      <c r="A469" s="13" t="s">
        <v>348</v>
      </c>
      <c r="B469" s="9" t="s">
        <v>63</v>
      </c>
      <c r="C469" s="9" t="s">
        <v>71</v>
      </c>
      <c r="D469" s="14">
        <v>6680</v>
      </c>
      <c r="E469" s="14">
        <v>463</v>
      </c>
      <c r="F469" s="15">
        <v>1738.07</v>
      </c>
      <c r="G469" s="14">
        <v>41</v>
      </c>
      <c r="H469" s="15">
        <v>17650.52</v>
      </c>
      <c r="I469" s="16">
        <v>6.9310999999999998</v>
      </c>
      <c r="J469" s="16">
        <v>8.8552999999999997</v>
      </c>
      <c r="K469" s="17">
        <v>915.52</v>
      </c>
      <c r="L469" s="15">
        <v>42.39</v>
      </c>
    </row>
    <row r="470" spans="1:12" x14ac:dyDescent="0.3">
      <c r="A470" s="18" t="s">
        <v>113</v>
      </c>
      <c r="B470" s="5" t="s">
        <v>63</v>
      </c>
      <c r="C470" s="5" t="s">
        <v>64</v>
      </c>
      <c r="D470" s="19">
        <v>3273</v>
      </c>
      <c r="E470" s="19">
        <v>195</v>
      </c>
      <c r="F470" s="20">
        <v>804.7</v>
      </c>
      <c r="G470" s="19">
        <v>18</v>
      </c>
      <c r="H470" s="20">
        <v>2896.95</v>
      </c>
      <c r="I470" s="21">
        <v>5.9577999999999998</v>
      </c>
      <c r="J470" s="21">
        <v>9.2308000000000003</v>
      </c>
      <c r="K470" s="22">
        <v>260</v>
      </c>
      <c r="L470" s="20">
        <v>44.71</v>
      </c>
    </row>
    <row r="471" spans="1:12" x14ac:dyDescent="0.3">
      <c r="A471" s="13" t="s">
        <v>349</v>
      </c>
      <c r="B471" s="9" t="s">
        <v>63</v>
      </c>
      <c r="C471" s="9" t="s">
        <v>64</v>
      </c>
      <c r="D471" s="14">
        <v>3013</v>
      </c>
      <c r="E471" s="14">
        <v>0</v>
      </c>
      <c r="F471" s="15">
        <v>468.67</v>
      </c>
      <c r="G471" s="14">
        <v>20</v>
      </c>
      <c r="H471" s="15">
        <v>7986.84</v>
      </c>
      <c r="I471" s="16">
        <v>0</v>
      </c>
      <c r="J471" s="16">
        <v>0</v>
      </c>
      <c r="K471" s="17">
        <v>1604.15</v>
      </c>
      <c r="L471" s="15">
        <v>23.43</v>
      </c>
    </row>
    <row r="472" spans="1:12" x14ac:dyDescent="0.3">
      <c r="A472" s="18" t="s">
        <v>117</v>
      </c>
      <c r="B472" s="5" t="s">
        <v>63</v>
      </c>
      <c r="C472" s="5" t="s">
        <v>88</v>
      </c>
      <c r="D472" s="19">
        <v>6298</v>
      </c>
      <c r="E472" s="19">
        <v>401</v>
      </c>
      <c r="F472" s="20">
        <v>1206.74</v>
      </c>
      <c r="G472" s="19">
        <v>26</v>
      </c>
      <c r="H472" s="20">
        <v>4345.6099999999997</v>
      </c>
      <c r="I472" s="21">
        <v>6.3670999999999998</v>
      </c>
      <c r="J472" s="21">
        <v>6.4837999999999996</v>
      </c>
      <c r="K472" s="22">
        <v>260.11</v>
      </c>
      <c r="L472" s="20">
        <v>46.41</v>
      </c>
    </row>
    <row r="473" spans="1:12" x14ac:dyDescent="0.3">
      <c r="A473" s="13" t="s">
        <v>233</v>
      </c>
      <c r="B473" s="9" t="s">
        <v>63</v>
      </c>
      <c r="C473" s="9" t="s">
        <v>69</v>
      </c>
      <c r="D473" s="14">
        <v>535</v>
      </c>
      <c r="E473" s="14">
        <v>22</v>
      </c>
      <c r="F473" s="15">
        <v>49.27</v>
      </c>
      <c r="G473" s="14">
        <v>1</v>
      </c>
      <c r="H473" s="15">
        <v>0</v>
      </c>
      <c r="I473" s="16">
        <v>4.1120999999999999</v>
      </c>
      <c r="J473" s="16">
        <v>4.5454999999999997</v>
      </c>
      <c r="K473" s="17">
        <v>-100</v>
      </c>
      <c r="L473" s="15">
        <v>49.27</v>
      </c>
    </row>
    <row r="474" spans="1:12" ht="22.8" x14ac:dyDescent="0.3">
      <c r="A474" s="18" t="s">
        <v>312</v>
      </c>
      <c r="B474" s="5" t="s">
        <v>63</v>
      </c>
      <c r="C474" s="5" t="s">
        <v>91</v>
      </c>
      <c r="D474" s="19">
        <v>5017</v>
      </c>
      <c r="E474" s="19">
        <v>185</v>
      </c>
      <c r="F474" s="20">
        <v>165.6</v>
      </c>
      <c r="G474" s="19">
        <v>16</v>
      </c>
      <c r="H474" s="20">
        <v>3262.75</v>
      </c>
      <c r="I474" s="21">
        <v>3.6875</v>
      </c>
      <c r="J474" s="21">
        <v>8.6486000000000001</v>
      </c>
      <c r="K474" s="22">
        <v>1870.26</v>
      </c>
      <c r="L474" s="20">
        <v>10.35</v>
      </c>
    </row>
    <row r="475" spans="1:12" x14ac:dyDescent="0.3">
      <c r="A475" s="13" t="s">
        <v>350</v>
      </c>
      <c r="B475" s="9" t="s">
        <v>63</v>
      </c>
      <c r="C475" s="9" t="s">
        <v>115</v>
      </c>
      <c r="D475" s="14">
        <v>2668</v>
      </c>
      <c r="E475" s="14">
        <v>238</v>
      </c>
      <c r="F475" s="15">
        <v>753.59</v>
      </c>
      <c r="G475" s="14">
        <v>13</v>
      </c>
      <c r="H475" s="15">
        <v>4285.92</v>
      </c>
      <c r="I475" s="16">
        <v>8.9205000000000005</v>
      </c>
      <c r="J475" s="16">
        <v>5.4622000000000002</v>
      </c>
      <c r="K475" s="17">
        <v>468.73</v>
      </c>
      <c r="L475" s="15">
        <v>57.97</v>
      </c>
    </row>
    <row r="476" spans="1:12" x14ac:dyDescent="0.3">
      <c r="A476" s="18" t="s">
        <v>84</v>
      </c>
      <c r="B476" s="5" t="s">
        <v>63</v>
      </c>
      <c r="C476" s="5" t="s">
        <v>86</v>
      </c>
      <c r="D476" s="19">
        <v>1415</v>
      </c>
      <c r="E476" s="19">
        <v>104</v>
      </c>
      <c r="F476" s="20">
        <v>283.77</v>
      </c>
      <c r="G476" s="19">
        <v>7</v>
      </c>
      <c r="H476" s="20">
        <v>2587.41</v>
      </c>
      <c r="I476" s="21">
        <v>7.3498000000000001</v>
      </c>
      <c r="J476" s="21">
        <v>6.7308000000000003</v>
      </c>
      <c r="K476" s="22">
        <v>811.8</v>
      </c>
      <c r="L476" s="20">
        <v>40.54</v>
      </c>
    </row>
    <row r="477" spans="1:12" x14ac:dyDescent="0.3">
      <c r="A477" s="13" t="s">
        <v>351</v>
      </c>
      <c r="B477" s="9" t="s">
        <v>63</v>
      </c>
      <c r="C477" s="9" t="s">
        <v>115</v>
      </c>
      <c r="D477" s="14">
        <v>3770</v>
      </c>
      <c r="E477" s="14">
        <v>183</v>
      </c>
      <c r="F477" s="15">
        <v>204.97</v>
      </c>
      <c r="G477" s="14">
        <v>9</v>
      </c>
      <c r="H477" s="15">
        <v>3176.54</v>
      </c>
      <c r="I477" s="16">
        <v>4.8540999999999999</v>
      </c>
      <c r="J477" s="16">
        <v>4.9180000000000001</v>
      </c>
      <c r="K477" s="17">
        <v>1449.76</v>
      </c>
      <c r="L477" s="15">
        <v>22.77</v>
      </c>
    </row>
    <row r="478" spans="1:12" x14ac:dyDescent="0.3">
      <c r="A478" s="18" t="s">
        <v>325</v>
      </c>
      <c r="B478" s="5" t="s">
        <v>63</v>
      </c>
      <c r="C478" s="5" t="s">
        <v>69</v>
      </c>
      <c r="D478" s="19">
        <v>2016</v>
      </c>
      <c r="E478" s="19">
        <v>170</v>
      </c>
      <c r="F478" s="20">
        <v>371.27</v>
      </c>
      <c r="G478" s="19">
        <v>8</v>
      </c>
      <c r="H478" s="20">
        <v>2806.78</v>
      </c>
      <c r="I478" s="21">
        <v>8.4324999999999992</v>
      </c>
      <c r="J478" s="21">
        <v>4.7058999999999997</v>
      </c>
      <c r="K478" s="22">
        <v>655.99</v>
      </c>
      <c r="L478" s="20">
        <v>46.41</v>
      </c>
    </row>
    <row r="479" spans="1:12" x14ac:dyDescent="0.3">
      <c r="A479" s="13" t="s">
        <v>141</v>
      </c>
      <c r="B479" s="9" t="s">
        <v>63</v>
      </c>
      <c r="C479" s="9" t="s">
        <v>83</v>
      </c>
      <c r="D479" s="14">
        <v>1650</v>
      </c>
      <c r="E479" s="14">
        <v>145</v>
      </c>
      <c r="F479" s="15">
        <v>0</v>
      </c>
      <c r="G479" s="14">
        <v>12</v>
      </c>
      <c r="H479" s="15">
        <v>3887.03</v>
      </c>
      <c r="I479" s="16">
        <v>8.7879000000000005</v>
      </c>
      <c r="J479" s="16">
        <v>8.2759</v>
      </c>
      <c r="K479" s="17">
        <v>0</v>
      </c>
      <c r="L479" s="15">
        <v>0</v>
      </c>
    </row>
    <row r="480" spans="1:12" x14ac:dyDescent="0.3">
      <c r="A480" s="18" t="s">
        <v>202</v>
      </c>
      <c r="B480" s="5" t="s">
        <v>63</v>
      </c>
      <c r="C480" s="5" t="s">
        <v>73</v>
      </c>
      <c r="D480" s="19">
        <v>1426</v>
      </c>
      <c r="E480" s="19">
        <v>124</v>
      </c>
      <c r="F480" s="20">
        <v>120.96</v>
      </c>
      <c r="G480" s="19">
        <v>6</v>
      </c>
      <c r="H480" s="20">
        <v>1276.6400000000001</v>
      </c>
      <c r="I480" s="21">
        <v>8.6957000000000004</v>
      </c>
      <c r="J480" s="21">
        <v>4.8387000000000002</v>
      </c>
      <c r="K480" s="22">
        <v>955.42</v>
      </c>
      <c r="L480" s="20">
        <v>20.16</v>
      </c>
    </row>
    <row r="481" spans="1:12" x14ac:dyDescent="0.3">
      <c r="A481" s="13" t="s">
        <v>277</v>
      </c>
      <c r="B481" s="9" t="s">
        <v>63</v>
      </c>
      <c r="C481" s="9" t="s">
        <v>64</v>
      </c>
      <c r="D481" s="14">
        <v>3768</v>
      </c>
      <c r="E481" s="14">
        <v>0</v>
      </c>
      <c r="F481" s="15">
        <v>811.92</v>
      </c>
      <c r="G481" s="14">
        <v>16</v>
      </c>
      <c r="H481" s="15">
        <v>2007.21</v>
      </c>
      <c r="I481" s="16">
        <v>0</v>
      </c>
      <c r="J481" s="16">
        <v>0</v>
      </c>
      <c r="K481" s="17">
        <v>147.22</v>
      </c>
      <c r="L481" s="15">
        <v>50.74</v>
      </c>
    </row>
    <row r="482" spans="1:12" x14ac:dyDescent="0.3">
      <c r="A482" s="18" t="s">
        <v>232</v>
      </c>
      <c r="B482" s="5" t="s">
        <v>63</v>
      </c>
      <c r="C482" s="5" t="s">
        <v>83</v>
      </c>
      <c r="D482" s="19">
        <v>2561</v>
      </c>
      <c r="E482" s="19">
        <v>0</v>
      </c>
      <c r="F482" s="20">
        <v>494.29</v>
      </c>
      <c r="G482" s="19">
        <v>0</v>
      </c>
      <c r="H482" s="20">
        <v>8203.0300000000007</v>
      </c>
      <c r="I482" s="21">
        <v>0</v>
      </c>
      <c r="J482" s="21">
        <v>0</v>
      </c>
      <c r="K482" s="22">
        <v>1559.56</v>
      </c>
      <c r="L482" s="20">
        <v>0</v>
      </c>
    </row>
    <row r="483" spans="1:12" x14ac:dyDescent="0.3">
      <c r="A483" s="13" t="s">
        <v>263</v>
      </c>
      <c r="B483" s="9" t="s">
        <v>63</v>
      </c>
      <c r="C483" s="9" t="s">
        <v>73</v>
      </c>
      <c r="D483" s="14">
        <v>6310</v>
      </c>
      <c r="E483" s="14">
        <v>215</v>
      </c>
      <c r="F483" s="15">
        <v>202.52</v>
      </c>
      <c r="G483" s="14">
        <v>13</v>
      </c>
      <c r="H483" s="15">
        <v>6148.2</v>
      </c>
      <c r="I483" s="16">
        <v>3.4073000000000002</v>
      </c>
      <c r="J483" s="16">
        <v>6.0465</v>
      </c>
      <c r="K483" s="17">
        <v>2935.85</v>
      </c>
      <c r="L483" s="15">
        <v>15.58</v>
      </c>
    </row>
    <row r="484" spans="1:12" x14ac:dyDescent="0.3">
      <c r="A484" s="18" t="s">
        <v>347</v>
      </c>
      <c r="B484" s="5" t="s">
        <v>63</v>
      </c>
      <c r="C484" s="5" t="s">
        <v>88</v>
      </c>
      <c r="D484" s="19">
        <v>5286</v>
      </c>
      <c r="E484" s="19">
        <v>193</v>
      </c>
      <c r="F484" s="20">
        <v>789.65</v>
      </c>
      <c r="G484" s="19">
        <v>10</v>
      </c>
      <c r="H484" s="20">
        <v>4454.6499999999996</v>
      </c>
      <c r="I484" s="21">
        <v>3.6511999999999998</v>
      </c>
      <c r="J484" s="21">
        <v>5.1813000000000002</v>
      </c>
      <c r="K484" s="22">
        <v>464.13</v>
      </c>
      <c r="L484" s="20">
        <v>78.959999999999994</v>
      </c>
    </row>
    <row r="485" spans="1:12" x14ac:dyDescent="0.3">
      <c r="A485" s="13" t="s">
        <v>271</v>
      </c>
      <c r="B485" s="9" t="s">
        <v>63</v>
      </c>
      <c r="C485" s="9" t="s">
        <v>71</v>
      </c>
      <c r="D485" s="14">
        <v>3498</v>
      </c>
      <c r="E485" s="14">
        <v>226</v>
      </c>
      <c r="F485" s="15">
        <v>608.30999999999995</v>
      </c>
      <c r="G485" s="14">
        <v>7</v>
      </c>
      <c r="H485" s="15">
        <v>2110.34</v>
      </c>
      <c r="I485" s="16">
        <v>6.4607999999999999</v>
      </c>
      <c r="J485" s="16">
        <v>3.0973000000000002</v>
      </c>
      <c r="K485" s="17">
        <v>246.92</v>
      </c>
      <c r="L485" s="15">
        <v>86.9</v>
      </c>
    </row>
    <row r="486" spans="1:12" x14ac:dyDescent="0.3">
      <c r="A486" s="18" t="s">
        <v>310</v>
      </c>
      <c r="B486" s="5" t="s">
        <v>63</v>
      </c>
      <c r="C486" s="5" t="s">
        <v>64</v>
      </c>
      <c r="D486" s="19">
        <v>6532</v>
      </c>
      <c r="E486" s="19">
        <v>440</v>
      </c>
      <c r="F486" s="20">
        <v>861.83</v>
      </c>
      <c r="G486" s="19">
        <v>29</v>
      </c>
      <c r="H486" s="20">
        <v>8874.84</v>
      </c>
      <c r="I486" s="21">
        <v>6.7361000000000004</v>
      </c>
      <c r="J486" s="21">
        <v>6.5909000000000004</v>
      </c>
      <c r="K486" s="22">
        <v>929.77</v>
      </c>
      <c r="L486" s="20">
        <v>29.72</v>
      </c>
    </row>
    <row r="487" spans="1:12" x14ac:dyDescent="0.3">
      <c r="A487" s="13" t="s">
        <v>352</v>
      </c>
      <c r="B487" s="9" t="s">
        <v>63</v>
      </c>
      <c r="C487" s="9" t="s">
        <v>115</v>
      </c>
      <c r="D487" s="14">
        <v>4200</v>
      </c>
      <c r="E487" s="14">
        <v>356</v>
      </c>
      <c r="F487" s="15">
        <v>698.79</v>
      </c>
      <c r="G487" s="14">
        <v>29</v>
      </c>
      <c r="H487" s="15">
        <v>13343.26</v>
      </c>
      <c r="I487" s="16">
        <v>8.4762000000000004</v>
      </c>
      <c r="J487" s="16">
        <v>8.1461000000000006</v>
      </c>
      <c r="K487" s="17">
        <v>1809.48</v>
      </c>
      <c r="L487" s="15">
        <v>24.1</v>
      </c>
    </row>
    <row r="488" spans="1:12" ht="22.8" x14ac:dyDescent="0.3">
      <c r="A488" s="18" t="s">
        <v>196</v>
      </c>
      <c r="B488" s="5" t="s">
        <v>63</v>
      </c>
      <c r="C488" s="5" t="s">
        <v>91</v>
      </c>
      <c r="D488" s="19">
        <v>0</v>
      </c>
      <c r="E488" s="19">
        <v>447</v>
      </c>
      <c r="F488" s="20">
        <v>887.92</v>
      </c>
      <c r="G488" s="19">
        <v>23</v>
      </c>
      <c r="H488" s="20">
        <v>4064.98</v>
      </c>
      <c r="I488" s="21">
        <v>0</v>
      </c>
      <c r="J488" s="21">
        <v>5.1454000000000004</v>
      </c>
      <c r="K488" s="22">
        <v>357.81</v>
      </c>
      <c r="L488" s="20">
        <v>38.61</v>
      </c>
    </row>
    <row r="489" spans="1:12" ht="22.8" x14ac:dyDescent="0.3">
      <c r="A489" s="13" t="s">
        <v>173</v>
      </c>
      <c r="B489" s="9" t="s">
        <v>63</v>
      </c>
      <c r="C489" s="9" t="s">
        <v>91</v>
      </c>
      <c r="D489" s="14">
        <v>2112</v>
      </c>
      <c r="E489" s="14">
        <v>158</v>
      </c>
      <c r="F489" s="15">
        <v>301.60000000000002</v>
      </c>
      <c r="G489" s="14">
        <v>11</v>
      </c>
      <c r="H489" s="15">
        <v>1627.08</v>
      </c>
      <c r="I489" s="16">
        <v>7.4810999999999996</v>
      </c>
      <c r="J489" s="16">
        <v>6.9619999999999997</v>
      </c>
      <c r="K489" s="17">
        <v>439.48</v>
      </c>
      <c r="L489" s="15">
        <v>27.42</v>
      </c>
    </row>
    <row r="490" spans="1:12" x14ac:dyDescent="0.3">
      <c r="A490" s="18" t="s">
        <v>353</v>
      </c>
      <c r="B490" s="5" t="s">
        <v>63</v>
      </c>
      <c r="C490" s="5" t="s">
        <v>64</v>
      </c>
      <c r="D490" s="19">
        <v>3377</v>
      </c>
      <c r="E490" s="19">
        <v>269</v>
      </c>
      <c r="F490" s="20">
        <v>1116.95</v>
      </c>
      <c r="G490" s="19">
        <v>11</v>
      </c>
      <c r="H490" s="20">
        <v>1447.05</v>
      </c>
      <c r="I490" s="21">
        <v>7.9656000000000002</v>
      </c>
      <c r="J490" s="21">
        <v>4.0891999999999999</v>
      </c>
      <c r="K490" s="22">
        <v>29.55</v>
      </c>
      <c r="L490" s="20">
        <v>101.54</v>
      </c>
    </row>
    <row r="491" spans="1:12" x14ac:dyDescent="0.3">
      <c r="A491" s="13" t="s">
        <v>276</v>
      </c>
      <c r="B491" s="9" t="s">
        <v>63</v>
      </c>
      <c r="C491" s="9" t="s">
        <v>115</v>
      </c>
      <c r="D491" s="14">
        <v>5076</v>
      </c>
      <c r="E491" s="14">
        <v>447</v>
      </c>
      <c r="F491" s="15">
        <v>572.32000000000005</v>
      </c>
      <c r="G491" s="14">
        <v>16</v>
      </c>
      <c r="H491" s="15">
        <v>2006.16</v>
      </c>
      <c r="I491" s="16">
        <v>8.8061000000000007</v>
      </c>
      <c r="J491" s="16">
        <v>3.5794000000000001</v>
      </c>
      <c r="K491" s="17">
        <v>250.53</v>
      </c>
      <c r="L491" s="15">
        <v>35.770000000000003</v>
      </c>
    </row>
    <row r="492" spans="1:12" x14ac:dyDescent="0.3">
      <c r="A492" s="18" t="s">
        <v>354</v>
      </c>
      <c r="B492" s="5" t="s">
        <v>63</v>
      </c>
      <c r="C492" s="5" t="s">
        <v>88</v>
      </c>
      <c r="D492" s="19">
        <v>7600</v>
      </c>
      <c r="E492" s="19">
        <v>643</v>
      </c>
      <c r="F492" s="20">
        <v>1395.52</v>
      </c>
      <c r="G492" s="19">
        <v>61</v>
      </c>
      <c r="H492" s="20">
        <v>21442.58</v>
      </c>
      <c r="I492" s="21">
        <v>8.4604999999999997</v>
      </c>
      <c r="J492" s="21">
        <v>9.4868000000000006</v>
      </c>
      <c r="K492" s="22">
        <v>1436.53</v>
      </c>
      <c r="L492" s="20">
        <v>22.88</v>
      </c>
    </row>
    <row r="493" spans="1:12" x14ac:dyDescent="0.3">
      <c r="A493" s="13" t="s">
        <v>294</v>
      </c>
      <c r="B493" s="9" t="s">
        <v>63</v>
      </c>
      <c r="C493" s="9" t="s">
        <v>64</v>
      </c>
      <c r="D493" s="14">
        <v>5889</v>
      </c>
      <c r="E493" s="14">
        <v>0</v>
      </c>
      <c r="F493" s="15">
        <v>558.48</v>
      </c>
      <c r="G493" s="14">
        <v>37</v>
      </c>
      <c r="H493" s="15">
        <v>6262.65</v>
      </c>
      <c r="I493" s="16">
        <v>0</v>
      </c>
      <c r="J493" s="16">
        <v>0</v>
      </c>
      <c r="K493" s="17">
        <v>1021.37</v>
      </c>
      <c r="L493" s="15">
        <v>15.09</v>
      </c>
    </row>
    <row r="494" spans="1:12" x14ac:dyDescent="0.3">
      <c r="A494" s="18" t="s">
        <v>355</v>
      </c>
      <c r="B494" s="5" t="s">
        <v>63</v>
      </c>
      <c r="C494" s="5" t="s">
        <v>71</v>
      </c>
      <c r="D494" s="19">
        <v>3205</v>
      </c>
      <c r="E494" s="19">
        <v>221</v>
      </c>
      <c r="F494" s="20">
        <v>771.48</v>
      </c>
      <c r="G494" s="19">
        <v>18</v>
      </c>
      <c r="H494" s="20">
        <v>2810.48</v>
      </c>
      <c r="I494" s="21">
        <v>6.8955000000000002</v>
      </c>
      <c r="J494" s="21">
        <v>8.1448</v>
      </c>
      <c r="K494" s="22">
        <v>264.3</v>
      </c>
      <c r="L494" s="20">
        <v>42.86</v>
      </c>
    </row>
    <row r="495" spans="1:12" x14ac:dyDescent="0.3">
      <c r="A495" s="13" t="s">
        <v>162</v>
      </c>
      <c r="B495" s="9" t="s">
        <v>63</v>
      </c>
      <c r="C495" s="9" t="s">
        <v>88</v>
      </c>
      <c r="D495" s="14">
        <v>5651</v>
      </c>
      <c r="E495" s="14">
        <v>197</v>
      </c>
      <c r="F495" s="15">
        <v>532.16999999999996</v>
      </c>
      <c r="G495" s="14">
        <v>18</v>
      </c>
      <c r="H495" s="15">
        <v>7762.44</v>
      </c>
      <c r="I495" s="16">
        <v>3.4861</v>
      </c>
      <c r="J495" s="16">
        <v>9.1371000000000002</v>
      </c>
      <c r="K495" s="17">
        <v>1358.64</v>
      </c>
      <c r="L495" s="15">
        <v>29.56</v>
      </c>
    </row>
    <row r="496" spans="1:12" x14ac:dyDescent="0.3">
      <c r="A496" s="18" t="s">
        <v>356</v>
      </c>
      <c r="B496" s="5" t="s">
        <v>63</v>
      </c>
      <c r="C496" s="5" t="s">
        <v>86</v>
      </c>
      <c r="D496" s="19">
        <v>2511</v>
      </c>
      <c r="E496" s="19">
        <v>173</v>
      </c>
      <c r="F496" s="20">
        <v>275.68</v>
      </c>
      <c r="G496" s="19">
        <v>9</v>
      </c>
      <c r="H496" s="20">
        <v>4045.38</v>
      </c>
      <c r="I496" s="21">
        <v>6.8897000000000004</v>
      </c>
      <c r="J496" s="21">
        <v>5.2023000000000001</v>
      </c>
      <c r="K496" s="22">
        <v>1367.42</v>
      </c>
      <c r="L496" s="20">
        <v>30.63</v>
      </c>
    </row>
    <row r="497" spans="1:12" x14ac:dyDescent="0.3">
      <c r="A497" s="13" t="s">
        <v>199</v>
      </c>
      <c r="B497" s="9" t="s">
        <v>63</v>
      </c>
      <c r="C497" s="9" t="s">
        <v>67</v>
      </c>
      <c r="D497" s="14">
        <v>2086</v>
      </c>
      <c r="E497" s="14">
        <v>181</v>
      </c>
      <c r="F497" s="15">
        <v>321.49</v>
      </c>
      <c r="G497" s="14">
        <v>14</v>
      </c>
      <c r="H497" s="15">
        <v>4250.0600000000004</v>
      </c>
      <c r="I497" s="16">
        <v>8.6768999999999998</v>
      </c>
      <c r="J497" s="16">
        <v>7.7347999999999999</v>
      </c>
      <c r="K497" s="17">
        <v>1221.99</v>
      </c>
      <c r="L497" s="15">
        <v>22.96</v>
      </c>
    </row>
    <row r="498" spans="1:12" x14ac:dyDescent="0.3">
      <c r="A498" s="18" t="s">
        <v>240</v>
      </c>
      <c r="B498" s="5" t="s">
        <v>63</v>
      </c>
      <c r="C498" s="5" t="s">
        <v>88</v>
      </c>
      <c r="D498" s="19">
        <v>3413</v>
      </c>
      <c r="E498" s="19">
        <v>240</v>
      </c>
      <c r="F498" s="20">
        <v>909.64</v>
      </c>
      <c r="G498" s="19">
        <v>9</v>
      </c>
      <c r="H498" s="20">
        <v>2449.96</v>
      </c>
      <c r="I498" s="21">
        <v>7.0319000000000003</v>
      </c>
      <c r="J498" s="21">
        <v>3.75</v>
      </c>
      <c r="K498" s="22">
        <v>169.33</v>
      </c>
      <c r="L498" s="20">
        <v>101.07</v>
      </c>
    </row>
    <row r="499" spans="1:12" x14ac:dyDescent="0.3">
      <c r="A499" s="13" t="s">
        <v>257</v>
      </c>
      <c r="B499" s="9" t="s">
        <v>63</v>
      </c>
      <c r="C499" s="9" t="s">
        <v>64</v>
      </c>
      <c r="D499" s="14">
        <v>3799</v>
      </c>
      <c r="E499" s="14">
        <v>319</v>
      </c>
      <c r="F499" s="15">
        <v>1093.21</v>
      </c>
      <c r="G499" s="14">
        <v>21</v>
      </c>
      <c r="H499" s="15">
        <v>8888.7800000000007</v>
      </c>
      <c r="I499" s="16">
        <v>8.3969000000000005</v>
      </c>
      <c r="J499" s="16">
        <v>6.5831</v>
      </c>
      <c r="K499" s="17">
        <v>713.09</v>
      </c>
      <c r="L499" s="15">
        <v>52.06</v>
      </c>
    </row>
    <row r="500" spans="1:12" x14ac:dyDescent="0.3">
      <c r="A500" s="18" t="s">
        <v>357</v>
      </c>
      <c r="B500" s="5" t="s">
        <v>63</v>
      </c>
      <c r="C500" s="5" t="s">
        <v>67</v>
      </c>
      <c r="D500" s="19">
        <v>4086</v>
      </c>
      <c r="E500" s="19">
        <v>220</v>
      </c>
      <c r="F500" s="20">
        <v>441.89</v>
      </c>
      <c r="G500" s="19">
        <v>20</v>
      </c>
      <c r="H500" s="20">
        <v>4001.9</v>
      </c>
      <c r="I500" s="21">
        <v>5.3841999999999999</v>
      </c>
      <c r="J500" s="21">
        <v>9.0908999999999995</v>
      </c>
      <c r="K500" s="22">
        <v>805.63</v>
      </c>
      <c r="L500" s="20">
        <v>22.09</v>
      </c>
    </row>
    <row r="501" spans="1:12" x14ac:dyDescent="0.3">
      <c r="A501" s="13" t="s">
        <v>124</v>
      </c>
      <c r="B501" s="9" t="s">
        <v>63</v>
      </c>
      <c r="C501" s="9" t="s">
        <v>71</v>
      </c>
      <c r="D501" s="14">
        <v>3336</v>
      </c>
      <c r="E501" s="14">
        <v>177</v>
      </c>
      <c r="F501" s="15">
        <v>614.20000000000005</v>
      </c>
      <c r="G501" s="14">
        <v>12</v>
      </c>
      <c r="H501" s="15">
        <v>3087.91</v>
      </c>
      <c r="I501" s="16">
        <v>5.3057999999999996</v>
      </c>
      <c r="J501" s="16">
        <v>6.7797000000000001</v>
      </c>
      <c r="K501" s="17">
        <v>402.75</v>
      </c>
      <c r="L501" s="15">
        <v>51.18</v>
      </c>
    </row>
    <row r="502" spans="1:12" x14ac:dyDescent="0.3">
      <c r="A502" s="18" t="s">
        <v>112</v>
      </c>
      <c r="B502" s="5" t="s">
        <v>63</v>
      </c>
      <c r="C502" s="5" t="s">
        <v>86</v>
      </c>
      <c r="D502" s="19">
        <v>2672</v>
      </c>
      <c r="E502" s="19">
        <v>172</v>
      </c>
      <c r="F502" s="20">
        <v>630.79</v>
      </c>
      <c r="G502" s="19">
        <v>10</v>
      </c>
      <c r="H502" s="20">
        <v>4483.58</v>
      </c>
      <c r="I502" s="21">
        <v>6.4371</v>
      </c>
      <c r="J502" s="21">
        <v>5.8140000000000001</v>
      </c>
      <c r="K502" s="22">
        <v>610.79</v>
      </c>
      <c r="L502" s="20">
        <v>63.08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392B"/>
  </sheetPr>
  <dimension ref="A1:N13"/>
  <sheetViews>
    <sheetView showGridLines="0" zoomScaleNormal="100" workbookViewId="0">
      <selection sqref="A1:N1"/>
    </sheetView>
  </sheetViews>
  <sheetFormatPr defaultColWidth="8.6640625" defaultRowHeight="14.4" x14ac:dyDescent="0.3"/>
  <cols>
    <col min="1" max="1" width="16" customWidth="1"/>
    <col min="2" max="2" width="26.21875" bestFit="1" customWidth="1"/>
    <col min="3" max="3" width="12.44140625" customWidth="1"/>
    <col min="4" max="4" width="16.5546875" bestFit="1" customWidth="1"/>
    <col min="5" max="5" width="8.33203125" customWidth="1"/>
    <col min="6" max="6" width="16.6640625" bestFit="1" customWidth="1"/>
    <col min="7" max="7" width="8.21875" customWidth="1"/>
    <col min="8" max="8" width="20.44140625" bestFit="1" customWidth="1"/>
    <col min="9" max="9" width="12.5546875" customWidth="1"/>
    <col min="10" max="10" width="20.44140625" bestFit="1" customWidth="1"/>
    <col min="11" max="11" width="8.6640625" customWidth="1"/>
    <col min="12" max="12" width="14.77734375" bestFit="1" customWidth="1"/>
    <col min="13" max="13" width="12.44140625" customWidth="1"/>
    <col min="14" max="14" width="10.88671875" bestFit="1" customWidth="1"/>
  </cols>
  <sheetData>
    <row r="1" spans="1:14" ht="16.8" x14ac:dyDescent="0.3">
      <c r="A1" s="78" t="s">
        <v>358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4" spans="1:14" x14ac:dyDescent="0.3">
      <c r="B4" s="23" t="s">
        <v>359</v>
      </c>
      <c r="D4" s="24" t="s">
        <v>360</v>
      </c>
      <c r="F4" s="25" t="s">
        <v>361</v>
      </c>
      <c r="H4" s="26" t="s">
        <v>362</v>
      </c>
      <c r="J4" s="27" t="s">
        <v>363</v>
      </c>
      <c r="L4" s="28" t="s">
        <v>364</v>
      </c>
      <c r="N4" s="29" t="s">
        <v>365</v>
      </c>
    </row>
    <row r="5" spans="1:14" ht="22.8" x14ac:dyDescent="0.3">
      <c r="B5" s="58">
        <v>228142117</v>
      </c>
      <c r="D5" s="57">
        <v>5567274</v>
      </c>
      <c r="F5" s="56">
        <v>953825</v>
      </c>
      <c r="H5" s="63" t="s">
        <v>366</v>
      </c>
      <c r="J5" s="30" t="s">
        <v>367</v>
      </c>
      <c r="L5" s="54">
        <v>3.6480000000000001</v>
      </c>
      <c r="N5" s="55">
        <v>2.4400000000000002E-2</v>
      </c>
    </row>
    <row r="6" spans="1:14" x14ac:dyDescent="0.3">
      <c r="B6" s="31" t="s">
        <v>368</v>
      </c>
      <c r="D6" s="31" t="s">
        <v>369</v>
      </c>
      <c r="F6" s="31" t="s">
        <v>370</v>
      </c>
      <c r="H6" s="31" t="s">
        <v>371</v>
      </c>
      <c r="J6" s="31" t="s">
        <v>372</v>
      </c>
      <c r="L6" s="31" t="s">
        <v>373</v>
      </c>
      <c r="N6" s="31" t="s">
        <v>374</v>
      </c>
    </row>
    <row r="8" spans="1:14" x14ac:dyDescent="0.3">
      <c r="B8" s="80" t="s">
        <v>375</v>
      </c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</row>
    <row r="9" spans="1:14" ht="24" x14ac:dyDescent="0.3">
      <c r="B9" s="70" t="s">
        <v>376</v>
      </c>
      <c r="C9" s="71" t="s">
        <v>377</v>
      </c>
      <c r="D9" s="71" t="s">
        <v>378</v>
      </c>
      <c r="E9" s="71" t="s">
        <v>379</v>
      </c>
      <c r="F9" s="71" t="s">
        <v>380</v>
      </c>
      <c r="G9" s="71" t="s">
        <v>381</v>
      </c>
      <c r="H9" s="71" t="s">
        <v>382</v>
      </c>
      <c r="I9" s="71" t="s">
        <v>383</v>
      </c>
      <c r="J9" s="71" t="s">
        <v>384</v>
      </c>
      <c r="K9" s="71" t="s">
        <v>385</v>
      </c>
      <c r="L9" s="71" t="s">
        <v>386</v>
      </c>
      <c r="M9" s="72" t="s">
        <v>387</v>
      </c>
    </row>
    <row r="10" spans="1:14" x14ac:dyDescent="0.3">
      <c r="B10" s="64" t="s">
        <v>63</v>
      </c>
      <c r="C10" s="52">
        <v>21984873</v>
      </c>
      <c r="D10" s="52">
        <v>535198</v>
      </c>
      <c r="E10" s="53">
        <v>2.4299999999999999E-2</v>
      </c>
      <c r="F10" s="52">
        <v>32833</v>
      </c>
      <c r="G10" s="53">
        <v>6.13E-2</v>
      </c>
      <c r="H10" s="51" t="s">
        <v>388</v>
      </c>
      <c r="I10" s="51" t="s">
        <v>389</v>
      </c>
      <c r="J10" s="53">
        <v>0.49099999999999999</v>
      </c>
      <c r="K10" s="51" t="s">
        <v>390</v>
      </c>
      <c r="L10" s="51" t="s">
        <v>391</v>
      </c>
      <c r="M10" s="67">
        <v>0.36499999999999999</v>
      </c>
    </row>
    <row r="11" spans="1:14" x14ac:dyDescent="0.3">
      <c r="B11" s="65" t="s">
        <v>392</v>
      </c>
      <c r="C11" s="14">
        <v>127860508</v>
      </c>
      <c r="D11" s="14">
        <v>779406</v>
      </c>
      <c r="E11" s="46">
        <v>6.1000000000000004E-3</v>
      </c>
      <c r="F11" s="14">
        <v>869145</v>
      </c>
      <c r="G11" s="46">
        <v>1.1151</v>
      </c>
      <c r="H11" s="48" t="s">
        <v>393</v>
      </c>
      <c r="I11" s="48" t="s">
        <v>394</v>
      </c>
      <c r="J11" s="46">
        <v>-0.70099999999999996</v>
      </c>
      <c r="K11" s="48" t="s">
        <v>395</v>
      </c>
      <c r="L11" s="48" t="s">
        <v>396</v>
      </c>
      <c r="M11" s="68">
        <v>0.20200000000000001</v>
      </c>
    </row>
    <row r="12" spans="1:14" x14ac:dyDescent="0.3">
      <c r="B12" s="66" t="s">
        <v>397</v>
      </c>
      <c r="C12" s="19">
        <v>31676898</v>
      </c>
      <c r="D12" s="19">
        <v>2677597</v>
      </c>
      <c r="E12" s="45">
        <v>8.4500000000000006E-2</v>
      </c>
      <c r="F12" s="19">
        <v>7144</v>
      </c>
      <c r="G12" s="45">
        <v>2.7000000000000001E-3</v>
      </c>
      <c r="H12" s="47" t="s">
        <v>398</v>
      </c>
      <c r="I12" s="47" t="s">
        <v>399</v>
      </c>
      <c r="J12" s="45">
        <v>-0.85899999999999999</v>
      </c>
      <c r="K12" s="47" t="s">
        <v>400</v>
      </c>
      <c r="L12" s="47" t="s">
        <v>401</v>
      </c>
      <c r="M12" s="69">
        <v>0.433</v>
      </c>
    </row>
    <row r="13" spans="1:14" x14ac:dyDescent="0.3">
      <c r="B13" s="73" t="s">
        <v>402</v>
      </c>
      <c r="C13" s="74">
        <v>46619838</v>
      </c>
      <c r="D13" s="74">
        <v>1575074</v>
      </c>
      <c r="E13" s="75">
        <v>3.3799999999999997E-2</v>
      </c>
      <c r="F13" s="74">
        <v>44703</v>
      </c>
      <c r="G13" s="75">
        <v>2.8400000000000002E-2</v>
      </c>
      <c r="H13" s="76" t="s">
        <v>403</v>
      </c>
      <c r="I13" s="76" t="s">
        <v>404</v>
      </c>
      <c r="J13" s="76" t="s">
        <v>405</v>
      </c>
      <c r="K13" s="76" t="s">
        <v>406</v>
      </c>
      <c r="L13" s="76" t="s">
        <v>407</v>
      </c>
      <c r="M13" s="77">
        <v>0</v>
      </c>
    </row>
  </sheetData>
  <mergeCells count="2">
    <mergeCell ref="A1:N1"/>
    <mergeCell ref="B8:N8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5276"/>
  </sheetPr>
  <dimension ref="A1:P15"/>
  <sheetViews>
    <sheetView showGridLines="0" tabSelected="1" zoomScale="75" zoomScaleNormal="75" workbookViewId="0">
      <selection activeCell="AB19" sqref="AB19"/>
    </sheetView>
  </sheetViews>
  <sheetFormatPr defaultColWidth="8.6640625" defaultRowHeight="14.4" x14ac:dyDescent="0.3"/>
  <cols>
    <col min="1" max="1" width="12" customWidth="1"/>
    <col min="2" max="2" width="9" customWidth="1"/>
    <col min="3" max="3" width="14" customWidth="1"/>
    <col min="4" max="4" width="12" customWidth="1"/>
    <col min="5" max="7" width="14" customWidth="1"/>
    <col min="8" max="8" width="10" customWidth="1"/>
    <col min="9" max="9" width="12" customWidth="1"/>
  </cols>
  <sheetData>
    <row r="1" spans="1:16" ht="33.75" customHeight="1" x14ac:dyDescent="0.3">
      <c r="A1" s="78" t="s">
        <v>408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3" spans="1:16" ht="27.75" customHeight="1" x14ac:dyDescent="0.3">
      <c r="A3" s="12" t="s">
        <v>409</v>
      </c>
      <c r="B3" s="12" t="s">
        <v>410</v>
      </c>
      <c r="C3" s="12" t="s">
        <v>377</v>
      </c>
      <c r="D3" s="12" t="s">
        <v>378</v>
      </c>
      <c r="E3" s="12" t="s">
        <v>380</v>
      </c>
      <c r="F3" s="62" t="s">
        <v>382</v>
      </c>
      <c r="G3" s="62" t="s">
        <v>383</v>
      </c>
      <c r="H3" s="12" t="s">
        <v>384</v>
      </c>
      <c r="I3" s="12" t="s">
        <v>411</v>
      </c>
    </row>
    <row r="4" spans="1:16" ht="19.5" customHeight="1" x14ac:dyDescent="0.3">
      <c r="A4" s="49" t="s">
        <v>412</v>
      </c>
      <c r="B4" s="33" t="s">
        <v>413</v>
      </c>
      <c r="C4" s="19">
        <v>18139899</v>
      </c>
      <c r="D4" s="19">
        <v>197220</v>
      </c>
      <c r="E4" s="19">
        <v>7541</v>
      </c>
      <c r="F4" s="59">
        <v>189391</v>
      </c>
      <c r="G4" s="60">
        <v>1576766</v>
      </c>
      <c r="H4" s="45">
        <v>7.3250000000000002</v>
      </c>
      <c r="I4" s="18" t="s">
        <v>406</v>
      </c>
    </row>
    <row r="5" spans="1:16" ht="19.5" customHeight="1" x14ac:dyDescent="0.3">
      <c r="A5" s="50" t="s">
        <v>414</v>
      </c>
      <c r="B5" s="32" t="s">
        <v>413</v>
      </c>
      <c r="C5" s="14">
        <v>18956631</v>
      </c>
      <c r="D5" s="14">
        <v>176480</v>
      </c>
      <c r="E5" s="14">
        <v>867240</v>
      </c>
      <c r="F5" s="61">
        <v>772844</v>
      </c>
      <c r="G5" s="61">
        <v>1571061</v>
      </c>
      <c r="H5" s="46">
        <v>1.0329999999999999</v>
      </c>
      <c r="I5" s="46">
        <v>-4.0000000000000001E-3</v>
      </c>
    </row>
    <row r="6" spans="1:16" ht="19.5" customHeight="1" x14ac:dyDescent="0.3">
      <c r="A6" s="49" t="s">
        <v>415</v>
      </c>
      <c r="B6" s="33" t="s">
        <v>413</v>
      </c>
      <c r="C6" s="19">
        <v>20415273</v>
      </c>
      <c r="D6" s="19">
        <v>212895</v>
      </c>
      <c r="E6" s="19">
        <v>9019</v>
      </c>
      <c r="F6" s="60">
        <v>3503436</v>
      </c>
      <c r="G6" s="60">
        <v>1857863</v>
      </c>
      <c r="H6" s="45">
        <v>-0.47</v>
      </c>
      <c r="I6" s="45">
        <v>0.183</v>
      </c>
    </row>
    <row r="7" spans="1:16" ht="19.5" customHeight="1" x14ac:dyDescent="0.3">
      <c r="A7" s="50" t="s">
        <v>416</v>
      </c>
      <c r="B7" s="32" t="s">
        <v>417</v>
      </c>
      <c r="C7" s="14">
        <v>19258003</v>
      </c>
      <c r="D7" s="14">
        <v>205223</v>
      </c>
      <c r="E7" s="14">
        <v>7692</v>
      </c>
      <c r="F7" s="61">
        <v>714558</v>
      </c>
      <c r="G7" s="61">
        <v>1595619</v>
      </c>
      <c r="H7" s="46">
        <v>1.2330000000000001</v>
      </c>
      <c r="I7" s="46">
        <v>-0.14099999999999999</v>
      </c>
    </row>
    <row r="8" spans="1:16" ht="19.5" customHeight="1" x14ac:dyDescent="0.3">
      <c r="A8" s="49" t="s">
        <v>418</v>
      </c>
      <c r="B8" s="33" t="s">
        <v>417</v>
      </c>
      <c r="C8" s="19">
        <v>19546276</v>
      </c>
      <c r="D8" s="19">
        <v>199449</v>
      </c>
      <c r="E8" s="19">
        <v>8003</v>
      </c>
      <c r="F8" s="60">
        <v>1099680</v>
      </c>
      <c r="G8" s="60">
        <v>1762165</v>
      </c>
      <c r="H8" s="45">
        <v>0.60199999999999998</v>
      </c>
      <c r="I8" s="45">
        <v>0.104</v>
      </c>
    </row>
    <row r="9" spans="1:16" ht="19.5" customHeight="1" x14ac:dyDescent="0.3">
      <c r="A9" s="50" t="s">
        <v>419</v>
      </c>
      <c r="B9" s="32" t="s">
        <v>417</v>
      </c>
      <c r="C9" s="14">
        <v>18249963</v>
      </c>
      <c r="D9" s="14">
        <v>210393</v>
      </c>
      <c r="E9" s="14">
        <v>8471</v>
      </c>
      <c r="F9" s="61">
        <v>1858934</v>
      </c>
      <c r="G9" s="61">
        <v>1740688</v>
      </c>
      <c r="H9" s="46">
        <v>-6.4000000000000001E-2</v>
      </c>
      <c r="I9" s="46">
        <v>-1.2E-2</v>
      </c>
    </row>
    <row r="10" spans="1:16" ht="19.5" customHeight="1" x14ac:dyDescent="0.3">
      <c r="A10" s="49" t="s">
        <v>420</v>
      </c>
      <c r="B10" s="33" t="s">
        <v>421</v>
      </c>
      <c r="C10" s="19">
        <v>17235477</v>
      </c>
      <c r="D10" s="19">
        <v>195954</v>
      </c>
      <c r="E10" s="19">
        <v>8021</v>
      </c>
      <c r="F10" s="60">
        <v>1425822</v>
      </c>
      <c r="G10" s="60">
        <v>1800071</v>
      </c>
      <c r="H10" s="45">
        <v>0.26200000000000001</v>
      </c>
      <c r="I10" s="45">
        <v>3.4000000000000002E-2</v>
      </c>
    </row>
    <row r="11" spans="1:16" ht="19.5" customHeight="1" x14ac:dyDescent="0.3">
      <c r="A11" s="50" t="s">
        <v>422</v>
      </c>
      <c r="B11" s="32" t="s">
        <v>421</v>
      </c>
      <c r="C11" s="14">
        <v>20494990</v>
      </c>
      <c r="D11" s="14">
        <v>1042054</v>
      </c>
      <c r="E11" s="14">
        <v>7695</v>
      </c>
      <c r="F11" s="61">
        <v>1517377</v>
      </c>
      <c r="G11" s="61">
        <v>1631607</v>
      </c>
      <c r="H11" s="46">
        <v>7.4999999999999997E-2</v>
      </c>
      <c r="I11" s="46">
        <v>-9.4E-2</v>
      </c>
    </row>
    <row r="12" spans="1:16" ht="19.5" customHeight="1" x14ac:dyDescent="0.3">
      <c r="A12" s="49" t="s">
        <v>423</v>
      </c>
      <c r="B12" s="33" t="s">
        <v>421</v>
      </c>
      <c r="C12" s="19">
        <v>21296327</v>
      </c>
      <c r="D12" s="19">
        <v>207735</v>
      </c>
      <c r="E12" s="19">
        <v>8022</v>
      </c>
      <c r="F12" s="60">
        <v>1949345</v>
      </c>
      <c r="G12" s="60">
        <v>1613707</v>
      </c>
      <c r="H12" s="45">
        <v>-0.17199999999999999</v>
      </c>
      <c r="I12" s="45">
        <v>-1.0999999999999999E-2</v>
      </c>
    </row>
    <row r="13" spans="1:16" ht="19.5" customHeight="1" x14ac:dyDescent="0.3">
      <c r="A13" s="50" t="s">
        <v>424</v>
      </c>
      <c r="B13" s="32" t="s">
        <v>425</v>
      </c>
      <c r="C13" s="14">
        <v>18808265</v>
      </c>
      <c r="D13" s="14">
        <v>1684995</v>
      </c>
      <c r="E13" s="14">
        <v>7696</v>
      </c>
      <c r="F13" s="61">
        <v>1544713</v>
      </c>
      <c r="G13" s="61">
        <v>1636312</v>
      </c>
      <c r="H13" s="46">
        <v>5.8999999999999997E-2</v>
      </c>
      <c r="I13" s="46">
        <v>1.4E-2</v>
      </c>
    </row>
    <row r="14" spans="1:16" ht="19.5" customHeight="1" x14ac:dyDescent="0.3">
      <c r="A14" s="49" t="s">
        <v>426</v>
      </c>
      <c r="B14" s="33" t="s">
        <v>425</v>
      </c>
      <c r="C14" s="19">
        <v>18312654</v>
      </c>
      <c r="D14" s="19">
        <v>181414</v>
      </c>
      <c r="E14" s="19">
        <v>6625</v>
      </c>
      <c r="F14" s="60">
        <v>2175804</v>
      </c>
      <c r="G14" s="60">
        <v>1417284</v>
      </c>
      <c r="H14" s="45">
        <v>-0.34899999999999998</v>
      </c>
      <c r="I14" s="45">
        <v>-0.13400000000000001</v>
      </c>
    </row>
    <row r="15" spans="1:16" ht="19.5" customHeight="1" x14ac:dyDescent="0.3">
      <c r="A15" s="50" t="s">
        <v>427</v>
      </c>
      <c r="B15" s="32" t="s">
        <v>425</v>
      </c>
      <c r="C15" s="14">
        <v>17428361</v>
      </c>
      <c r="D15" s="14">
        <v>1053462</v>
      </c>
      <c r="E15" s="14">
        <v>7800</v>
      </c>
      <c r="F15" s="61">
        <v>1347818</v>
      </c>
      <c r="G15" s="61">
        <v>1694036</v>
      </c>
      <c r="H15" s="46">
        <v>0.25700000000000001</v>
      </c>
      <c r="I15" s="46">
        <v>0.19500000000000001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6655"/>
  </sheetPr>
  <dimension ref="A1:N7"/>
  <sheetViews>
    <sheetView showGridLines="0" zoomScaleNormal="100" workbookViewId="0">
      <selection activeCell="J12" sqref="J12"/>
    </sheetView>
  </sheetViews>
  <sheetFormatPr defaultColWidth="8.6640625" defaultRowHeight="14.4" x14ac:dyDescent="0.3"/>
  <cols>
    <col min="1" max="1" width="13.77734375" customWidth="1"/>
    <col min="2" max="3" width="4.77734375" customWidth="1"/>
    <col min="4" max="4" width="4.44140625" customWidth="1"/>
    <col min="5" max="11" width="4.77734375" customWidth="1"/>
    <col min="12" max="12" width="4.44140625" customWidth="1"/>
    <col min="13" max="13" width="4.77734375" customWidth="1"/>
    <col min="14" max="14" width="11.6640625" customWidth="1"/>
  </cols>
  <sheetData>
    <row r="1" spans="1:14" ht="33.75" customHeight="1" x14ac:dyDescent="0.3">
      <c r="A1" s="78" t="s">
        <v>428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3" spans="1:14" x14ac:dyDescent="0.3">
      <c r="A3" s="12" t="s">
        <v>429</v>
      </c>
      <c r="B3" s="12" t="s">
        <v>430</v>
      </c>
      <c r="C3" s="12" t="s">
        <v>431</v>
      </c>
      <c r="D3" s="12" t="s">
        <v>432</v>
      </c>
      <c r="E3" s="12" t="s">
        <v>433</v>
      </c>
      <c r="F3" s="12" t="s">
        <v>434</v>
      </c>
      <c r="G3" s="12" t="s">
        <v>435</v>
      </c>
      <c r="H3" s="12" t="s">
        <v>436</v>
      </c>
      <c r="I3" s="12" t="s">
        <v>437</v>
      </c>
      <c r="J3" s="12" t="s">
        <v>438</v>
      </c>
      <c r="K3" s="12" t="s">
        <v>439</v>
      </c>
      <c r="L3" s="12" t="s">
        <v>440</v>
      </c>
      <c r="M3" s="12" t="s">
        <v>441</v>
      </c>
      <c r="N3" s="1" t="s">
        <v>442</v>
      </c>
    </row>
    <row r="4" spans="1:14" x14ac:dyDescent="0.3">
      <c r="A4" s="2" t="s">
        <v>402</v>
      </c>
      <c r="B4" s="34" t="s">
        <v>406</v>
      </c>
      <c r="C4" s="34" t="s">
        <v>406</v>
      </c>
      <c r="D4" s="34" t="s">
        <v>406</v>
      </c>
      <c r="E4" s="34" t="s">
        <v>406</v>
      </c>
      <c r="F4" s="34" t="s">
        <v>406</v>
      </c>
      <c r="G4" s="34" t="s">
        <v>406</v>
      </c>
      <c r="H4" s="34" t="s">
        <v>406</v>
      </c>
      <c r="I4" s="34" t="s">
        <v>406</v>
      </c>
      <c r="J4" s="34" t="s">
        <v>406</v>
      </c>
      <c r="K4" s="34" t="s">
        <v>406</v>
      </c>
      <c r="L4" s="34" t="s">
        <v>406</v>
      </c>
      <c r="M4" s="34" t="s">
        <v>406</v>
      </c>
      <c r="N4" s="35" t="s">
        <v>406</v>
      </c>
    </row>
    <row r="5" spans="1:14" x14ac:dyDescent="0.3">
      <c r="A5" s="2" t="s">
        <v>63</v>
      </c>
      <c r="B5" s="36">
        <v>504.8</v>
      </c>
      <c r="C5" s="36">
        <v>613.79999999999995</v>
      </c>
      <c r="D5" s="37">
        <v>-34.5</v>
      </c>
      <c r="E5" s="36">
        <v>511.1</v>
      </c>
      <c r="F5" s="36">
        <v>683.3</v>
      </c>
      <c r="G5" s="37">
        <v>-1.3</v>
      </c>
      <c r="H5" s="36">
        <v>604</v>
      </c>
      <c r="I5" s="38">
        <v>3.4</v>
      </c>
      <c r="J5" s="37">
        <v>-29.1</v>
      </c>
      <c r="K5" s="36">
        <v>651.4</v>
      </c>
      <c r="L5" s="37">
        <v>-53.1</v>
      </c>
      <c r="M5" s="36">
        <v>596.6</v>
      </c>
      <c r="N5" s="35">
        <v>337.5</v>
      </c>
    </row>
    <row r="6" spans="1:14" x14ac:dyDescent="0.3">
      <c r="A6" s="2" t="s">
        <v>397</v>
      </c>
      <c r="B6" s="36">
        <v>437.8</v>
      </c>
      <c r="C6" s="37">
        <v>-87.8</v>
      </c>
      <c r="D6" s="37">
        <v>-94.7</v>
      </c>
      <c r="E6" s="37">
        <v>-84.1</v>
      </c>
      <c r="F6" s="37">
        <v>-91</v>
      </c>
      <c r="G6" s="36">
        <v>501.7</v>
      </c>
      <c r="H6" s="37">
        <v>-92.1</v>
      </c>
      <c r="I6" s="36">
        <v>451.5</v>
      </c>
      <c r="J6" s="37">
        <v>-87.7</v>
      </c>
      <c r="K6" s="37">
        <v>-75.8</v>
      </c>
      <c r="L6" s="37">
        <v>-79.099999999999994</v>
      </c>
      <c r="M6" s="37">
        <v>-92.8</v>
      </c>
      <c r="N6" s="35">
        <v>50.5</v>
      </c>
    </row>
    <row r="7" spans="1:14" x14ac:dyDescent="0.3">
      <c r="A7" s="2" t="s">
        <v>392</v>
      </c>
      <c r="B7" s="39">
        <v>128.30000000000001</v>
      </c>
      <c r="C7" s="38">
        <v>77.099999999999994</v>
      </c>
      <c r="D7" s="37">
        <v>-84.2</v>
      </c>
      <c r="E7" s="39">
        <v>118.6</v>
      </c>
      <c r="F7" s="38">
        <v>88.1</v>
      </c>
      <c r="G7" s="37">
        <v>-90.5</v>
      </c>
      <c r="H7" s="39">
        <v>149.69999999999999</v>
      </c>
      <c r="I7" s="37">
        <v>-88.1</v>
      </c>
      <c r="J7" s="39">
        <v>110.5</v>
      </c>
      <c r="K7" s="37">
        <v>-91.5</v>
      </c>
      <c r="L7" s="38">
        <v>76.5</v>
      </c>
      <c r="M7" s="39">
        <v>148.5</v>
      </c>
      <c r="N7" s="35">
        <v>45.2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8449"/>
  </sheetPr>
  <dimension ref="A1:J16"/>
  <sheetViews>
    <sheetView showGridLines="0" zoomScaleNormal="100" workbookViewId="0">
      <selection activeCell="C17" sqref="C17"/>
    </sheetView>
  </sheetViews>
  <sheetFormatPr defaultColWidth="8.6640625" defaultRowHeight="14.4" x14ac:dyDescent="0.3"/>
  <cols>
    <col min="1" max="1" width="3" customWidth="1"/>
    <col min="2" max="2" width="7.6640625" bestFit="1" customWidth="1"/>
    <col min="3" max="3" width="51.77734375" bestFit="1" customWidth="1"/>
    <col min="4" max="4" width="24.6640625" bestFit="1" customWidth="1"/>
    <col min="5" max="5" width="3" customWidth="1"/>
  </cols>
  <sheetData>
    <row r="1" spans="1:10" ht="16.8" x14ac:dyDescent="0.3">
      <c r="A1" s="78" t="s">
        <v>443</v>
      </c>
      <c r="B1" s="78"/>
      <c r="C1" s="78"/>
      <c r="D1" s="78"/>
      <c r="E1" s="78"/>
      <c r="F1" s="78"/>
      <c r="G1" s="78"/>
      <c r="H1" s="78"/>
      <c r="I1" s="78"/>
      <c r="J1" s="78"/>
    </row>
    <row r="3" spans="1:10" x14ac:dyDescent="0.3">
      <c r="B3" s="83" t="s">
        <v>444</v>
      </c>
      <c r="C3" s="83"/>
      <c r="D3" s="83"/>
    </row>
    <row r="4" spans="1:10" ht="34.200000000000003" x14ac:dyDescent="0.3">
      <c r="B4" s="40" t="s">
        <v>445</v>
      </c>
      <c r="C4" s="9" t="s">
        <v>446</v>
      </c>
      <c r="D4" s="5" t="s">
        <v>447</v>
      </c>
    </row>
    <row r="6" spans="1:10" x14ac:dyDescent="0.3">
      <c r="B6" s="84" t="s">
        <v>448</v>
      </c>
      <c r="C6" s="84"/>
      <c r="D6" s="84"/>
    </row>
    <row r="7" spans="1:10" ht="34.200000000000003" x14ac:dyDescent="0.3">
      <c r="B7" s="41" t="s">
        <v>445</v>
      </c>
      <c r="C7" s="9" t="s">
        <v>449</v>
      </c>
      <c r="D7" s="5" t="s">
        <v>450</v>
      </c>
    </row>
    <row r="9" spans="1:10" x14ac:dyDescent="0.3">
      <c r="B9" s="85" t="s">
        <v>451</v>
      </c>
      <c r="C9" s="85"/>
      <c r="D9" s="85"/>
    </row>
    <row r="10" spans="1:10" ht="34.200000000000003" x14ac:dyDescent="0.3">
      <c r="B10" s="42" t="s">
        <v>445</v>
      </c>
      <c r="C10" s="9" t="s">
        <v>452</v>
      </c>
      <c r="D10" s="5" t="s">
        <v>453</v>
      </c>
    </row>
    <row r="12" spans="1:10" x14ac:dyDescent="0.3">
      <c r="B12" s="86" t="s">
        <v>454</v>
      </c>
      <c r="C12" s="86"/>
      <c r="D12" s="86"/>
    </row>
    <row r="13" spans="1:10" ht="45.6" x14ac:dyDescent="0.3">
      <c r="B13" s="43" t="s">
        <v>445</v>
      </c>
      <c r="C13" s="9" t="s">
        <v>455</v>
      </c>
      <c r="D13" s="5" t="s">
        <v>456</v>
      </c>
    </row>
    <row r="15" spans="1:10" x14ac:dyDescent="0.3">
      <c r="B15" s="82" t="s">
        <v>457</v>
      </c>
      <c r="C15" s="82"/>
      <c r="D15" s="82"/>
    </row>
    <row r="16" spans="1:10" ht="45.6" x14ac:dyDescent="0.3">
      <c r="B16" s="44" t="s">
        <v>445</v>
      </c>
      <c r="C16" s="9" t="s">
        <v>458</v>
      </c>
      <c r="D16" s="5" t="s">
        <v>459</v>
      </c>
    </row>
  </sheetData>
  <mergeCells count="6">
    <mergeCell ref="B15:D15"/>
    <mergeCell ref="A1:J1"/>
    <mergeCell ref="B3:D3"/>
    <mergeCell ref="B6:D6"/>
    <mergeCell ref="B9:D9"/>
    <mergeCell ref="B12:D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Data Quality Report</vt:lpstr>
      <vt:lpstr>🗃 Clean Master Data</vt:lpstr>
      <vt:lpstr>📊 KPI Dashboard</vt:lpstr>
      <vt:lpstr>📈 Monthly Trends</vt:lpstr>
      <vt:lpstr>🔀 Channel × Month</vt:lpstr>
      <vt:lpstr>💡 Insights &amp; Rec.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1</cp:revision>
  <dcterms:created xsi:type="dcterms:W3CDTF">2026-03-26T09:35:53Z</dcterms:created>
  <dcterms:modified xsi:type="dcterms:W3CDTF">2026-03-26T17:22:12Z</dcterms:modified>
  <dc:language>en-US</dc:language>
</cp:coreProperties>
</file>